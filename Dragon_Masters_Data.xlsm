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a7b5c73c6cde09e/Documents/Personal/Projects/Drangon Masters/"/>
    </mc:Choice>
  </mc:AlternateContent>
  <xr:revisionPtr revIDLastSave="24" documentId="8_{53E245AF-DB59-4F49-ACE0-F2A859B9BD95}" xr6:coauthVersionLast="47" xr6:coauthVersionMax="47" xr10:uidLastSave="{079DA8D6-CCB6-41BB-B70A-48232D58E52C}"/>
  <bookViews>
    <workbookView minimized="1" xWindow="570" yWindow="570" windowWidth="21600" windowHeight="11160" activeTab="2" xr2:uid="{00000000-000D-0000-FFFF-FFFF00000000}"/>
  </bookViews>
  <sheets>
    <sheet name="Issue" sheetId="20" r:id="rId1"/>
    <sheet name="Regatta Seating" sheetId="19" r:id="rId2"/>
    <sheet name="Team List" sheetId="1" r:id="rId3"/>
    <sheet name="DoB" sheetId="24" r:id="rId4"/>
    <sheet name="Boat Details" sheetId="9" r:id="rId5"/>
    <sheet name="Boat Seat Templates" sheetId="11" r:id="rId6"/>
  </sheets>
  <externalReferences>
    <externalReference r:id="rId7"/>
  </externalReferences>
  <definedNames>
    <definedName name="fruit">'Team List'!$Q$30:$Q$45</definedName>
    <definedName name="Gender" localSheetId="4">'[1]Team List'!$D$5:$D$67</definedName>
    <definedName name="Gender">'Team List'!$C$4:$C$58</definedName>
    <definedName name="Paddlers">'Team List'!$D$1:$D$57</definedName>
    <definedName name="Paddlers_Left">'Team List'!$E$1:$E$57</definedName>
    <definedName name="Paddlers_Right">'Team List'!$F$1:$F$57</definedName>
    <definedName name="_xlnm.Print_Area" localSheetId="1">'Regatta Seating'!$A$1:$O$49</definedName>
    <definedName name="_xlnm.Print_Area" localSheetId="2">'Team List'!$D$1:$R$36</definedName>
    <definedName name="Regatta">'Team List'!$M$3:$M$66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4" i="1" l="1"/>
  <c r="F40" i="1"/>
  <c r="F39" i="1"/>
  <c r="M68" i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3" i="1"/>
  <c r="L34" i="1"/>
  <c r="F34" i="1"/>
  <c r="E34" i="1"/>
  <c r="D34" i="1"/>
  <c r="Q34" i="1" s="1"/>
  <c r="L6" i="1"/>
  <c r="H6" i="1"/>
  <c r="F6" i="1"/>
  <c r="E6" i="1"/>
  <c r="D6" i="1"/>
  <c r="Q6" i="1" s="1"/>
  <c r="D64" i="24"/>
  <c r="E64" i="24" s="1"/>
  <c r="L33" i="1"/>
  <c r="F33" i="1"/>
  <c r="E33" i="1"/>
  <c r="D33" i="1"/>
  <c r="P33" i="1" s="1"/>
  <c r="D63" i="24"/>
  <c r="E63" i="24" s="1"/>
  <c r="L42" i="1"/>
  <c r="F42" i="1"/>
  <c r="E42" i="1"/>
  <c r="D42" i="1"/>
  <c r="Q42" i="1" s="1"/>
  <c r="D65" i="24"/>
  <c r="F65" i="24" s="1"/>
  <c r="L47" i="1"/>
  <c r="F47" i="1"/>
  <c r="E47" i="1"/>
  <c r="D47" i="1"/>
  <c r="Q47" i="1" s="1"/>
  <c r="G62" i="24"/>
  <c r="J62" i="24"/>
  <c r="K62" i="24"/>
  <c r="D62" i="24"/>
  <c r="E62" i="24" s="1"/>
  <c r="L64" i="1"/>
  <c r="E64" i="1"/>
  <c r="D64" i="1"/>
  <c r="P64" i="1" s="1"/>
  <c r="D61" i="24"/>
  <c r="F61" i="24" s="1"/>
  <c r="L62" i="1"/>
  <c r="F62" i="1"/>
  <c r="E62" i="1"/>
  <c r="D62" i="1"/>
  <c r="P62" i="1" s="1"/>
  <c r="L40" i="1"/>
  <c r="E40" i="1"/>
  <c r="D40" i="1"/>
  <c r="Q40" i="1" s="1"/>
  <c r="L25" i="1"/>
  <c r="F25" i="1"/>
  <c r="E25" i="1"/>
  <c r="D25" i="1"/>
  <c r="Q25" i="1" s="1"/>
  <c r="E39" i="1"/>
  <c r="D39" i="1"/>
  <c r="Q39" i="1" s="1"/>
  <c r="L39" i="1"/>
  <c r="Q2" i="1"/>
  <c r="P2" i="1"/>
  <c r="O2" i="1"/>
  <c r="N2" i="1"/>
  <c r="K64" i="24" l="1"/>
  <c r="J64" i="24"/>
  <c r="I64" i="24"/>
  <c r="H64" i="24"/>
  <c r="G64" i="24"/>
  <c r="F64" i="24"/>
  <c r="O67" i="1"/>
  <c r="N67" i="1"/>
  <c r="P34" i="1"/>
  <c r="R34" i="1" s="1"/>
  <c r="R2" i="1"/>
  <c r="P25" i="1"/>
  <c r="R25" i="1" s="1"/>
  <c r="P6" i="1"/>
  <c r="R6" i="1" s="1"/>
  <c r="Q33" i="1"/>
  <c r="R33" i="1" s="1"/>
  <c r="K33" i="1"/>
  <c r="J63" i="24"/>
  <c r="H63" i="24"/>
  <c r="K63" i="24"/>
  <c r="G63" i="24"/>
  <c r="F63" i="24"/>
  <c r="I63" i="24"/>
  <c r="H62" i="24"/>
  <c r="J61" i="24"/>
  <c r="K42" i="1"/>
  <c r="P42" i="1"/>
  <c r="R42" i="1" s="1"/>
  <c r="E65" i="24"/>
  <c r="K47" i="1" s="1"/>
  <c r="K65" i="24"/>
  <c r="H65" i="24"/>
  <c r="J65" i="24"/>
  <c r="I65" i="24"/>
  <c r="G65" i="24"/>
  <c r="I62" i="24"/>
  <c r="F62" i="24"/>
  <c r="K61" i="24"/>
  <c r="I61" i="24"/>
  <c r="H61" i="24"/>
  <c r="G61" i="24"/>
  <c r="P47" i="1"/>
  <c r="R47" i="1" s="1"/>
  <c r="Q64" i="1"/>
  <c r="R64" i="1" s="1"/>
  <c r="K64" i="1"/>
  <c r="E61" i="24"/>
  <c r="K62" i="1" s="1"/>
  <c r="Q62" i="1"/>
  <c r="R62" i="1" s="1"/>
  <c r="P40" i="1"/>
  <c r="R40" i="1" s="1"/>
  <c r="P39" i="1"/>
  <c r="R39" i="1" s="1"/>
  <c r="F49" i="1"/>
  <c r="E49" i="1"/>
  <c r="D35" i="1"/>
  <c r="H29" i="1"/>
  <c r="L56" i="1"/>
  <c r="G56" i="1"/>
  <c r="F56" i="1"/>
  <c r="E56" i="1"/>
  <c r="D56" i="1"/>
  <c r="G58" i="1"/>
  <c r="L28" i="1"/>
  <c r="H28" i="1"/>
  <c r="F28" i="1"/>
  <c r="E28" i="1"/>
  <c r="D28" i="1"/>
  <c r="H35" i="1"/>
  <c r="G35" i="1"/>
  <c r="F37" i="1"/>
  <c r="E37" i="1"/>
  <c r="D37" i="1"/>
  <c r="F35" i="1"/>
  <c r="E35" i="1"/>
  <c r="F36" i="1"/>
  <c r="E36" i="1"/>
  <c r="D36" i="1"/>
  <c r="L36" i="1"/>
  <c r="M67" i="1" l="1"/>
  <c r="L37" i="1"/>
  <c r="L41" i="1"/>
  <c r="F41" i="1"/>
  <c r="E41" i="1"/>
  <c r="D41" i="1"/>
  <c r="L57" i="1"/>
  <c r="F57" i="1"/>
  <c r="E57" i="1"/>
  <c r="D57" i="1"/>
  <c r="H46" i="1" l="1"/>
  <c r="G46" i="1"/>
  <c r="E3" i="1"/>
  <c r="E16" i="1" l="1"/>
  <c r="F15" i="1"/>
  <c r="L63" i="1"/>
  <c r="L60" i="1"/>
  <c r="L27" i="1"/>
  <c r="L65" i="1"/>
  <c r="F63" i="1"/>
  <c r="E63" i="1"/>
  <c r="D63" i="1"/>
  <c r="G60" i="1"/>
  <c r="F60" i="1"/>
  <c r="E60" i="1"/>
  <c r="D60" i="1"/>
  <c r="H27" i="1"/>
  <c r="F27" i="1"/>
  <c r="E27" i="1"/>
  <c r="D27" i="1"/>
  <c r="F65" i="1"/>
  <c r="E65" i="1"/>
  <c r="D65" i="1"/>
  <c r="F54" i="1"/>
  <c r="E54" i="1"/>
  <c r="D54" i="1"/>
  <c r="F53" i="1"/>
  <c r="E53" i="1"/>
  <c r="D53" i="1"/>
  <c r="F52" i="1"/>
  <c r="E52" i="1"/>
  <c r="D52" i="1"/>
  <c r="F48" i="1"/>
  <c r="E48" i="1"/>
  <c r="D48" i="1"/>
  <c r="F46" i="1"/>
  <c r="E46" i="1"/>
  <c r="D46" i="1"/>
  <c r="G45" i="1"/>
  <c r="E45" i="1"/>
  <c r="D45" i="1"/>
  <c r="D49" i="1"/>
  <c r="F31" i="1"/>
  <c r="E31" i="1"/>
  <c r="D31" i="1"/>
  <c r="F30" i="1"/>
  <c r="E30" i="1"/>
  <c r="D30" i="1"/>
  <c r="F29" i="1"/>
  <c r="E29" i="1"/>
  <c r="D29" i="1"/>
  <c r="F23" i="1"/>
  <c r="E23" i="1"/>
  <c r="D23" i="1"/>
  <c r="F17" i="1"/>
  <c r="E17" i="1"/>
  <c r="D17" i="1"/>
  <c r="F13" i="1"/>
  <c r="E13" i="1"/>
  <c r="D13" i="1"/>
  <c r="F12" i="1"/>
  <c r="E12" i="1"/>
  <c r="D12" i="1"/>
  <c r="F66" i="1"/>
  <c r="E66" i="1"/>
  <c r="D66" i="1"/>
  <c r="G61" i="1"/>
  <c r="F61" i="1"/>
  <c r="E61" i="1"/>
  <c r="D61" i="1"/>
  <c r="F59" i="1"/>
  <c r="E59" i="1"/>
  <c r="D59" i="1"/>
  <c r="F58" i="1"/>
  <c r="E58" i="1"/>
  <c r="D58" i="1"/>
  <c r="P57" i="1" s="1"/>
  <c r="F55" i="1"/>
  <c r="E55" i="1"/>
  <c r="D55" i="1"/>
  <c r="F51" i="1"/>
  <c r="E51" i="1"/>
  <c r="D51" i="1"/>
  <c r="F50" i="1"/>
  <c r="E50" i="1"/>
  <c r="D50" i="1"/>
  <c r="F44" i="1"/>
  <c r="E44" i="1"/>
  <c r="D44" i="1"/>
  <c r="G43" i="1"/>
  <c r="F43" i="1"/>
  <c r="E43" i="1"/>
  <c r="D43" i="1"/>
  <c r="E38" i="1"/>
  <c r="D38" i="1"/>
  <c r="F32" i="1"/>
  <c r="E32" i="1"/>
  <c r="D32" i="1"/>
  <c r="F26" i="1"/>
  <c r="E26" i="1"/>
  <c r="D26" i="1"/>
  <c r="H24" i="1"/>
  <c r="F24" i="1"/>
  <c r="E24" i="1"/>
  <c r="D24" i="1"/>
  <c r="H22" i="1"/>
  <c r="F22" i="1"/>
  <c r="E22" i="1"/>
  <c r="D22" i="1"/>
  <c r="F21" i="1"/>
  <c r="E21" i="1"/>
  <c r="D21" i="1"/>
  <c r="H20" i="1"/>
  <c r="G20" i="1"/>
  <c r="E20" i="1"/>
  <c r="D20" i="1"/>
  <c r="H19" i="1"/>
  <c r="F19" i="1"/>
  <c r="E19" i="1"/>
  <c r="D19" i="1"/>
  <c r="H18" i="1"/>
  <c r="G18" i="1"/>
  <c r="F18" i="1"/>
  <c r="E18" i="1"/>
  <c r="D18" i="1"/>
  <c r="F16" i="1"/>
  <c r="D16" i="1"/>
  <c r="E15" i="1"/>
  <c r="D15" i="1"/>
  <c r="H14" i="1"/>
  <c r="G14" i="1"/>
  <c r="F14" i="1"/>
  <c r="E14" i="1"/>
  <c r="D14" i="1"/>
  <c r="H11" i="1"/>
  <c r="F11" i="1"/>
  <c r="E11" i="1"/>
  <c r="D11" i="1"/>
  <c r="H10" i="1"/>
  <c r="E10" i="1"/>
  <c r="D10" i="1"/>
  <c r="F9" i="1"/>
  <c r="E9" i="1"/>
  <c r="D9" i="1"/>
  <c r="F8" i="1"/>
  <c r="E8" i="1"/>
  <c r="D8" i="1"/>
  <c r="F7" i="1"/>
  <c r="E7" i="1"/>
  <c r="D7" i="1"/>
  <c r="H5" i="1"/>
  <c r="F5" i="1"/>
  <c r="E5" i="1"/>
  <c r="D5" i="1"/>
  <c r="H4" i="1"/>
  <c r="F4" i="1"/>
  <c r="E4" i="1"/>
  <c r="D4" i="1"/>
  <c r="D3" i="1"/>
  <c r="L4" i="24" l="1"/>
  <c r="L12" i="24"/>
  <c r="L20" i="24"/>
  <c r="L28" i="24"/>
  <c r="L36" i="24"/>
  <c r="L44" i="24"/>
  <c r="L52" i="24"/>
  <c r="L60" i="24"/>
  <c r="L5" i="24"/>
  <c r="L13" i="24"/>
  <c r="L21" i="24"/>
  <c r="L29" i="24"/>
  <c r="L37" i="24"/>
  <c r="L45" i="24"/>
  <c r="L53" i="24"/>
  <c r="L61" i="24"/>
  <c r="L6" i="24"/>
  <c r="L14" i="24"/>
  <c r="L22" i="24"/>
  <c r="L30" i="24"/>
  <c r="L38" i="24"/>
  <c r="L46" i="24"/>
  <c r="L54" i="24"/>
  <c r="L62" i="24"/>
  <c r="L7" i="24"/>
  <c r="L15" i="24"/>
  <c r="L23" i="24"/>
  <c r="L31" i="24"/>
  <c r="L39" i="24"/>
  <c r="L47" i="24"/>
  <c r="L55" i="24"/>
  <c r="L63" i="24"/>
  <c r="L8" i="24"/>
  <c r="L16" i="24"/>
  <c r="L24" i="24"/>
  <c r="L32" i="24"/>
  <c r="L40" i="24"/>
  <c r="L48" i="24"/>
  <c r="L56" i="24"/>
  <c r="L64" i="24"/>
  <c r="L59" i="24"/>
  <c r="L9" i="24"/>
  <c r="L17" i="24"/>
  <c r="L25" i="24"/>
  <c r="L33" i="24"/>
  <c r="L41" i="24"/>
  <c r="L49" i="24"/>
  <c r="L57" i="24"/>
  <c r="L65" i="24"/>
  <c r="L43" i="24"/>
  <c r="L10" i="24"/>
  <c r="L18" i="24"/>
  <c r="L26" i="24"/>
  <c r="L34" i="24"/>
  <c r="L42" i="24"/>
  <c r="L50" i="24"/>
  <c r="L58" i="24"/>
  <c r="L66" i="24"/>
  <c r="L11" i="24"/>
  <c r="L19" i="24"/>
  <c r="L27" i="24"/>
  <c r="L35" i="24"/>
  <c r="L51" i="24"/>
  <c r="L29" i="19"/>
  <c r="I29" i="19"/>
  <c r="B26" i="19"/>
  <c r="A26" i="19"/>
  <c r="M29" i="19"/>
  <c r="E26" i="19"/>
  <c r="B29" i="19"/>
  <c r="B27" i="19"/>
  <c r="B25" i="19"/>
  <c r="B23" i="19"/>
  <c r="B21" i="19"/>
  <c r="B31" i="19"/>
  <c r="A29" i="19"/>
  <c r="A27" i="19"/>
  <c r="A25" i="19"/>
  <c r="A23" i="19"/>
  <c r="A21" i="19"/>
  <c r="L28" i="19"/>
  <c r="L26" i="19"/>
  <c r="L24" i="19"/>
  <c r="L22" i="19"/>
  <c r="B20" i="19"/>
  <c r="I26" i="19"/>
  <c r="I24" i="19"/>
  <c r="E28" i="19"/>
  <c r="B28" i="19"/>
  <c r="B24" i="19"/>
  <c r="M30" i="19"/>
  <c r="M28" i="19"/>
  <c r="M26" i="19"/>
  <c r="M24" i="19"/>
  <c r="M22" i="19"/>
  <c r="B22" i="19"/>
  <c r="L30" i="19"/>
  <c r="E30" i="19"/>
  <c r="B30" i="19"/>
  <c r="A30" i="19"/>
  <c r="A28" i="19"/>
  <c r="A24" i="19"/>
  <c r="A22" i="19"/>
  <c r="M27" i="19"/>
  <c r="M25" i="19"/>
  <c r="M23" i="19"/>
  <c r="M21" i="19"/>
  <c r="L27" i="19"/>
  <c r="L25" i="19"/>
  <c r="L23" i="19"/>
  <c r="L21" i="19"/>
  <c r="I27" i="19"/>
  <c r="I25" i="19"/>
  <c r="E29" i="19"/>
  <c r="P44" i="1"/>
  <c r="Q45" i="1"/>
  <c r="P45" i="1"/>
  <c r="P26" i="1"/>
  <c r="Q26" i="1"/>
  <c r="P43" i="1"/>
  <c r="Q43" i="1"/>
  <c r="I45" i="19"/>
  <c r="L5" i="19"/>
  <c r="L7" i="19"/>
  <c r="L9" i="19"/>
  <c r="L11" i="19"/>
  <c r="L13" i="19"/>
  <c r="M5" i="19"/>
  <c r="M7" i="19"/>
  <c r="M9" i="19"/>
  <c r="M11" i="19"/>
  <c r="M13" i="19"/>
  <c r="B45" i="19"/>
  <c r="B43" i="19"/>
  <c r="B41" i="19"/>
  <c r="B39" i="19"/>
  <c r="B37" i="19"/>
  <c r="A6" i="19"/>
  <c r="A8" i="19"/>
  <c r="A10" i="19"/>
  <c r="A12" i="19"/>
  <c r="A14" i="19"/>
  <c r="B47" i="19"/>
  <c r="A45" i="19"/>
  <c r="A43" i="19"/>
  <c r="A41" i="19"/>
  <c r="A39" i="19"/>
  <c r="A37" i="19"/>
  <c r="B6" i="19"/>
  <c r="B8" i="19"/>
  <c r="B10" i="19"/>
  <c r="B12" i="19"/>
  <c r="B14" i="19"/>
  <c r="B42" i="19"/>
  <c r="A9" i="19"/>
  <c r="M46" i="19"/>
  <c r="M44" i="19"/>
  <c r="M42" i="19"/>
  <c r="M40" i="19"/>
  <c r="M38" i="19"/>
  <c r="A5" i="19"/>
  <c r="A13" i="19"/>
  <c r="L45" i="19"/>
  <c r="L37" i="19"/>
  <c r="I13" i="19"/>
  <c r="L46" i="19"/>
  <c r="L44" i="19"/>
  <c r="L42" i="19"/>
  <c r="L40" i="19"/>
  <c r="L38" i="19"/>
  <c r="B36" i="19"/>
  <c r="I10" i="19"/>
  <c r="I42" i="19"/>
  <c r="B4" i="19"/>
  <c r="L6" i="19"/>
  <c r="L8" i="19"/>
  <c r="L10" i="19"/>
  <c r="L12" i="19"/>
  <c r="L14" i="19"/>
  <c r="L43" i="19"/>
  <c r="M6" i="19"/>
  <c r="M8" i="19"/>
  <c r="M10" i="19"/>
  <c r="M12" i="19"/>
  <c r="M14" i="19"/>
  <c r="L39" i="19"/>
  <c r="I11" i="19"/>
  <c r="B46" i="19"/>
  <c r="B44" i="19"/>
  <c r="B40" i="19"/>
  <c r="B38" i="19"/>
  <c r="A7" i="19"/>
  <c r="A11" i="19"/>
  <c r="L41" i="19"/>
  <c r="A46" i="19"/>
  <c r="A44" i="19"/>
  <c r="A42" i="19"/>
  <c r="A40" i="19"/>
  <c r="A38" i="19"/>
  <c r="B5" i="19"/>
  <c r="B7" i="19"/>
  <c r="B9" i="19"/>
  <c r="B11" i="19"/>
  <c r="B13" i="19"/>
  <c r="M45" i="19"/>
  <c r="M43" i="19"/>
  <c r="M41" i="19"/>
  <c r="M39" i="19"/>
  <c r="M37" i="19"/>
  <c r="P53" i="1"/>
  <c r="Q38" i="1"/>
  <c r="Q66" i="1"/>
  <c r="Q3" i="1"/>
  <c r="Q20" i="1"/>
  <c r="Q61" i="1"/>
  <c r="P60" i="1"/>
  <c r="Q60" i="1"/>
  <c r="Q53" i="1"/>
  <c r="P21" i="1"/>
  <c r="Q28" i="1"/>
  <c r="P9" i="1"/>
  <c r="Q30" i="1"/>
  <c r="P30" i="1"/>
  <c r="Q55" i="1"/>
  <c r="P55" i="1"/>
  <c r="Q8" i="1"/>
  <c r="P8" i="1"/>
  <c r="Q12" i="1"/>
  <c r="P22" i="1"/>
  <c r="Q50" i="1"/>
  <c r="P28" i="1"/>
  <c r="Q4" i="1"/>
  <c r="P66" i="1"/>
  <c r="Q49" i="1"/>
  <c r="P49" i="1"/>
  <c r="Q32" i="1"/>
  <c r="P32" i="1"/>
  <c r="Q19" i="1"/>
  <c r="P19" i="1"/>
  <c r="Q37" i="1"/>
  <c r="P37" i="1"/>
  <c r="P38" i="1"/>
  <c r="Q21" i="1"/>
  <c r="P50" i="1"/>
  <c r="Q57" i="1"/>
  <c r="Q11" i="1"/>
  <c r="P11" i="1"/>
  <c r="Q51" i="1"/>
  <c r="P51" i="1"/>
  <c r="Q35" i="1"/>
  <c r="P35" i="1"/>
  <c r="Q13" i="1"/>
  <c r="P10" i="1"/>
  <c r="Q41" i="1"/>
  <c r="P41" i="1"/>
  <c r="Q44" i="1"/>
  <c r="P27" i="1"/>
  <c r="Q22" i="1"/>
  <c r="Q27" i="1"/>
  <c r="P12" i="1"/>
  <c r="Q14" i="1"/>
  <c r="P24" i="1"/>
  <c r="P59" i="1"/>
  <c r="Q16" i="1"/>
  <c r="P13" i="1"/>
  <c r="Q52" i="1"/>
  <c r="P52" i="1"/>
  <c r="Q36" i="1"/>
  <c r="P36" i="1"/>
  <c r="P58" i="1"/>
  <c r="Q58" i="1"/>
  <c r="P4" i="1"/>
  <c r="Q5" i="1"/>
  <c r="P7" i="1"/>
  <c r="Q24" i="1"/>
  <c r="P20" i="1"/>
  <c r="Q17" i="1"/>
  <c r="P17" i="1"/>
  <c r="Q18" i="1"/>
  <c r="P18" i="1"/>
  <c r="P29" i="1"/>
  <c r="Q29" i="1"/>
  <c r="Q10" i="1"/>
  <c r="P61" i="1"/>
  <c r="Q48" i="1"/>
  <c r="P48" i="1"/>
  <c r="Q63" i="1"/>
  <c r="P63" i="1"/>
  <c r="Q23" i="1"/>
  <c r="P23" i="1"/>
  <c r="Q9" i="1"/>
  <c r="P46" i="1"/>
  <c r="Q54" i="1"/>
  <c r="P54" i="1"/>
  <c r="Q7" i="1"/>
  <c r="P14" i="1"/>
  <c r="Q31" i="1"/>
  <c r="P31" i="1"/>
  <c r="Q59" i="1"/>
  <c r="P15" i="1"/>
  <c r="Q65" i="1"/>
  <c r="P65" i="1"/>
  <c r="P16" i="1"/>
  <c r="Q46" i="1"/>
  <c r="P5" i="1"/>
  <c r="Q56" i="1"/>
  <c r="P56" i="1"/>
  <c r="Q15" i="1"/>
  <c r="P3" i="1"/>
  <c r="B15" i="19"/>
  <c r="L71" i="24"/>
  <c r="L70" i="24"/>
  <c r="L69" i="24"/>
  <c r="L68" i="24"/>
  <c r="L67" i="24"/>
  <c r="D24" i="24"/>
  <c r="E24" i="24" s="1"/>
  <c r="L30" i="1"/>
  <c r="L31" i="1"/>
  <c r="L49" i="1"/>
  <c r="I28" i="19" s="1"/>
  <c r="L45" i="1"/>
  <c r="L46" i="1"/>
  <c r="L48" i="1"/>
  <c r="L52" i="1"/>
  <c r="L53" i="1"/>
  <c r="L54" i="1"/>
  <c r="D26" i="19" l="1"/>
  <c r="C26" i="19"/>
  <c r="J29" i="19"/>
  <c r="K29" i="19"/>
  <c r="D30" i="19"/>
  <c r="C30" i="19"/>
  <c r="K21" i="19"/>
  <c r="J21" i="19"/>
  <c r="O21" i="19"/>
  <c r="D28" i="19"/>
  <c r="C28" i="19"/>
  <c r="J23" i="19"/>
  <c r="K23" i="19"/>
  <c r="J25" i="19"/>
  <c r="K25" i="19"/>
  <c r="J27" i="19"/>
  <c r="K27" i="19"/>
  <c r="K30" i="19"/>
  <c r="J30" i="19"/>
  <c r="C22" i="19"/>
  <c r="D22" i="19"/>
  <c r="C21" i="19"/>
  <c r="D21" i="19"/>
  <c r="O20" i="19"/>
  <c r="D23" i="19"/>
  <c r="C23" i="19"/>
  <c r="K22" i="19"/>
  <c r="J22" i="19"/>
  <c r="D25" i="19"/>
  <c r="C25" i="19"/>
  <c r="J24" i="19"/>
  <c r="K24" i="19"/>
  <c r="D27" i="19"/>
  <c r="C27" i="19"/>
  <c r="K26" i="19"/>
  <c r="J26" i="19"/>
  <c r="C29" i="19"/>
  <c r="D29" i="19"/>
  <c r="I43" i="19"/>
  <c r="D24" i="19"/>
  <c r="C24" i="19"/>
  <c r="K28" i="19"/>
  <c r="J28" i="19"/>
  <c r="R26" i="1"/>
  <c r="E12" i="19"/>
  <c r="R43" i="1"/>
  <c r="J43" i="19"/>
  <c r="K43" i="19"/>
  <c r="J37" i="19"/>
  <c r="K37" i="19"/>
  <c r="O37" i="19"/>
  <c r="D43" i="19"/>
  <c r="C43" i="19"/>
  <c r="J14" i="19"/>
  <c r="K14" i="19"/>
  <c r="K45" i="19"/>
  <c r="J45" i="19"/>
  <c r="C45" i="19"/>
  <c r="D45" i="19"/>
  <c r="K12" i="19"/>
  <c r="J12" i="19"/>
  <c r="J41" i="19"/>
  <c r="K41" i="19"/>
  <c r="J10" i="19"/>
  <c r="K10" i="19"/>
  <c r="J11" i="19"/>
  <c r="K11" i="19"/>
  <c r="C13" i="19"/>
  <c r="D13" i="19"/>
  <c r="J8" i="19"/>
  <c r="K8" i="19"/>
  <c r="D42" i="19"/>
  <c r="C42" i="19"/>
  <c r="J9" i="19"/>
  <c r="K9" i="19"/>
  <c r="J13" i="19"/>
  <c r="K13" i="19"/>
  <c r="C11" i="19"/>
  <c r="D11" i="19"/>
  <c r="J6" i="19"/>
  <c r="K6" i="19"/>
  <c r="D14" i="19"/>
  <c r="C14" i="19"/>
  <c r="K7" i="19"/>
  <c r="J7" i="19"/>
  <c r="C9" i="19"/>
  <c r="D9" i="19"/>
  <c r="C38" i="19"/>
  <c r="D38" i="19"/>
  <c r="K38" i="19"/>
  <c r="J38" i="19"/>
  <c r="C12" i="19"/>
  <c r="D12" i="19"/>
  <c r="J5" i="19"/>
  <c r="O5" i="19"/>
  <c r="K5" i="19"/>
  <c r="D7" i="19"/>
  <c r="C7" i="19"/>
  <c r="D40" i="19"/>
  <c r="C40" i="19"/>
  <c r="J40" i="19"/>
  <c r="K40" i="19"/>
  <c r="C10" i="19"/>
  <c r="D10" i="19"/>
  <c r="C5" i="19"/>
  <c r="D5" i="19"/>
  <c r="O4" i="19"/>
  <c r="C44" i="19"/>
  <c r="D44" i="19"/>
  <c r="K42" i="19"/>
  <c r="J42" i="19"/>
  <c r="C8" i="19"/>
  <c r="D8" i="19"/>
  <c r="D46" i="19"/>
  <c r="C46" i="19"/>
  <c r="J44" i="19"/>
  <c r="K44" i="19"/>
  <c r="C6" i="19"/>
  <c r="D6" i="19"/>
  <c r="D37" i="19"/>
  <c r="O36" i="19"/>
  <c r="C37" i="19"/>
  <c r="K46" i="19"/>
  <c r="J46" i="19"/>
  <c r="D39" i="19"/>
  <c r="C39" i="19"/>
  <c r="J39" i="19"/>
  <c r="K39" i="19"/>
  <c r="C41" i="19"/>
  <c r="D41" i="19"/>
  <c r="R53" i="1"/>
  <c r="R16" i="1"/>
  <c r="R59" i="1"/>
  <c r="R8" i="1"/>
  <c r="R7" i="1"/>
  <c r="R66" i="1"/>
  <c r="R63" i="1"/>
  <c r="R65" i="1"/>
  <c r="R30" i="1"/>
  <c r="R37" i="1"/>
  <c r="R9" i="1"/>
  <c r="R56" i="1"/>
  <c r="R60" i="1"/>
  <c r="R14" i="1"/>
  <c r="R57" i="1"/>
  <c r="R21" i="1"/>
  <c r="R45" i="1"/>
  <c r="R18" i="1"/>
  <c r="R5" i="1"/>
  <c r="R36" i="1"/>
  <c r="R61" i="1"/>
  <c r="R54" i="1"/>
  <c r="R11" i="1"/>
  <c r="R19" i="1"/>
  <c r="R22" i="1"/>
  <c r="K24" i="24"/>
  <c r="J24" i="24"/>
  <c r="I24" i="24"/>
  <c r="H24" i="24"/>
  <c r="G24" i="24"/>
  <c r="F24" i="24"/>
  <c r="R51" i="1"/>
  <c r="O24" i="19" l="1"/>
  <c r="P21" i="19"/>
  <c r="O22" i="19"/>
  <c r="O25" i="19"/>
  <c r="O8" i="19"/>
  <c r="O40" i="19"/>
  <c r="P37" i="19"/>
  <c r="O38" i="19"/>
  <c r="O9" i="19"/>
  <c r="O41" i="19"/>
  <c r="O6" i="19"/>
  <c r="P5" i="19"/>
  <c r="L18" i="1"/>
  <c r="R31" i="1"/>
  <c r="D5" i="24"/>
  <c r="I5" i="24" s="1"/>
  <c r="D6" i="24"/>
  <c r="H6" i="24" s="1"/>
  <c r="D7" i="24"/>
  <c r="D8" i="24"/>
  <c r="D9" i="24"/>
  <c r="G9" i="24" s="1"/>
  <c r="D10" i="24"/>
  <c r="F10" i="24" s="1"/>
  <c r="D11" i="24"/>
  <c r="I11" i="24" s="1"/>
  <c r="D12" i="24"/>
  <c r="H12" i="24" s="1"/>
  <c r="D13" i="24"/>
  <c r="F13" i="24" s="1"/>
  <c r="D14" i="24"/>
  <c r="K14" i="24" s="1"/>
  <c r="D15" i="24"/>
  <c r="J15" i="24" s="1"/>
  <c r="D16" i="24"/>
  <c r="E16" i="24" s="1"/>
  <c r="K6" i="1" s="1"/>
  <c r="D17" i="24"/>
  <c r="I17" i="24" s="1"/>
  <c r="D18" i="24"/>
  <c r="H18" i="24" s="1"/>
  <c r="D19" i="24"/>
  <c r="H19" i="24" s="1"/>
  <c r="D20" i="24"/>
  <c r="G20" i="24" s="1"/>
  <c r="D21" i="24"/>
  <c r="F21" i="24" s="1"/>
  <c r="D22" i="24"/>
  <c r="D23" i="24"/>
  <c r="D25" i="24"/>
  <c r="F25" i="24" s="1"/>
  <c r="D26" i="24"/>
  <c r="K26" i="24" s="1"/>
  <c r="D27" i="24"/>
  <c r="E27" i="24" s="1"/>
  <c r="K28" i="1" s="1"/>
  <c r="D28" i="24"/>
  <c r="H28" i="24" s="1"/>
  <c r="D29" i="24"/>
  <c r="I29" i="24" s="1"/>
  <c r="D30" i="24"/>
  <c r="D31" i="24"/>
  <c r="F31" i="24" s="1"/>
  <c r="D32" i="24"/>
  <c r="G32" i="24" s="1"/>
  <c r="D33" i="24"/>
  <c r="G33" i="24" s="1"/>
  <c r="D34" i="24"/>
  <c r="H34" i="24" s="1"/>
  <c r="D35" i="24"/>
  <c r="H35" i="24" s="1"/>
  <c r="D36" i="24"/>
  <c r="E36" i="24" s="1"/>
  <c r="D37" i="24"/>
  <c r="F37" i="24" s="1"/>
  <c r="D38" i="24"/>
  <c r="D39" i="24"/>
  <c r="D40" i="24"/>
  <c r="I40" i="24" s="1"/>
  <c r="D41" i="24"/>
  <c r="J41" i="24" s="1"/>
  <c r="D42" i="24"/>
  <c r="I42" i="24" s="1"/>
  <c r="D43" i="24"/>
  <c r="H43" i="24" s="1"/>
  <c r="D44" i="24"/>
  <c r="H44" i="24" s="1"/>
  <c r="D45" i="24"/>
  <c r="G45" i="24" s="1"/>
  <c r="D46" i="24"/>
  <c r="J46" i="24" s="1"/>
  <c r="D47" i="24"/>
  <c r="D48" i="24"/>
  <c r="F48" i="24" s="1"/>
  <c r="D49" i="24"/>
  <c r="E49" i="24" s="1"/>
  <c r="D50" i="24"/>
  <c r="H50" i="24" s="1"/>
  <c r="D51" i="24"/>
  <c r="H51" i="24" s="1"/>
  <c r="D52" i="24"/>
  <c r="D53" i="24"/>
  <c r="J53" i="24" s="1"/>
  <c r="D54" i="24"/>
  <c r="D55" i="24"/>
  <c r="F55" i="24" s="1"/>
  <c r="D56" i="24"/>
  <c r="J56" i="24" s="1"/>
  <c r="D57" i="24"/>
  <c r="F57" i="24" s="1"/>
  <c r="D58" i="24"/>
  <c r="F58" i="24" s="1"/>
  <c r="D59" i="24"/>
  <c r="H59" i="24" s="1"/>
  <c r="D60" i="24"/>
  <c r="J60" i="24" s="1"/>
  <c r="D66" i="24"/>
  <c r="H66" i="24" s="1"/>
  <c r="D4" i="24"/>
  <c r="E4" i="19" l="1"/>
  <c r="E20" i="19"/>
  <c r="O26" i="19"/>
  <c r="O10" i="19"/>
  <c r="O42" i="19"/>
  <c r="E25" i="24"/>
  <c r="I59" i="24"/>
  <c r="F45" i="24"/>
  <c r="J37" i="24"/>
  <c r="I33" i="24"/>
  <c r="J18" i="24"/>
  <c r="J14" i="24"/>
  <c r="E35" i="24"/>
  <c r="J10" i="24"/>
  <c r="H26" i="24"/>
  <c r="E34" i="24"/>
  <c r="K56" i="1" s="1"/>
  <c r="K42" i="24"/>
  <c r="I25" i="24"/>
  <c r="H40" i="24"/>
  <c r="G66" i="24"/>
  <c r="K37" i="24"/>
  <c r="H16" i="24"/>
  <c r="H56" i="24"/>
  <c r="H32" i="24"/>
  <c r="F6" i="24"/>
  <c r="I56" i="24"/>
  <c r="E59" i="24"/>
  <c r="K34" i="1" s="1"/>
  <c r="H53" i="24"/>
  <c r="G29" i="24"/>
  <c r="E9" i="24"/>
  <c r="J49" i="24"/>
  <c r="G40" i="24"/>
  <c r="F32" i="24"/>
  <c r="I16" i="24"/>
  <c r="E33" i="24"/>
  <c r="K41" i="1" s="1"/>
  <c r="I49" i="24"/>
  <c r="E32" i="24"/>
  <c r="K57" i="1" s="1"/>
  <c r="H57" i="24"/>
  <c r="H49" i="24"/>
  <c r="J26" i="24"/>
  <c r="G16" i="24"/>
  <c r="E26" i="24"/>
  <c r="K65" i="1" s="1"/>
  <c r="G57" i="24"/>
  <c r="G48" i="24"/>
  <c r="I35" i="24"/>
  <c r="I26" i="24"/>
  <c r="F16" i="24"/>
  <c r="E57" i="24"/>
  <c r="E11" i="24"/>
  <c r="F33" i="24"/>
  <c r="E56" i="24"/>
  <c r="E10" i="24"/>
  <c r="F56" i="24"/>
  <c r="J42" i="24"/>
  <c r="I32" i="24"/>
  <c r="K18" i="24"/>
  <c r="I10" i="24"/>
  <c r="I44" i="24"/>
  <c r="H20" i="24"/>
  <c r="J12" i="24"/>
  <c r="E20" i="24"/>
  <c r="E48" i="24"/>
  <c r="E29" i="24"/>
  <c r="E18" i="24"/>
  <c r="F66" i="24"/>
  <c r="G58" i="24"/>
  <c r="G56" i="24"/>
  <c r="G51" i="24"/>
  <c r="H48" i="24"/>
  <c r="J43" i="24"/>
  <c r="H41" i="24"/>
  <c r="G36" i="24"/>
  <c r="I34" i="24"/>
  <c r="G28" i="24"/>
  <c r="F26" i="24"/>
  <c r="J19" i="24"/>
  <c r="K17" i="24"/>
  <c r="F12" i="24"/>
  <c r="H9" i="24"/>
  <c r="I20" i="24"/>
  <c r="G59" i="24"/>
  <c r="F59" i="24"/>
  <c r="J51" i="24"/>
  <c r="I18" i="24"/>
  <c r="I12" i="24"/>
  <c r="E19" i="24"/>
  <c r="K36" i="1" s="1"/>
  <c r="I51" i="24"/>
  <c r="G49" i="24"/>
  <c r="K43" i="24"/>
  <c r="I41" i="24"/>
  <c r="J34" i="24"/>
  <c r="I28" i="24"/>
  <c r="G26" i="24"/>
  <c r="K19" i="24"/>
  <c r="E43" i="24"/>
  <c r="E17" i="24"/>
  <c r="K60" i="24"/>
  <c r="K57" i="24"/>
  <c r="F51" i="24"/>
  <c r="E37" i="24"/>
  <c r="K27" i="1" s="1"/>
  <c r="E28" i="24"/>
  <c r="K59" i="24"/>
  <c r="J57" i="24"/>
  <c r="G43" i="24"/>
  <c r="F41" i="24"/>
  <c r="K35" i="24"/>
  <c r="K33" i="24"/>
  <c r="K27" i="24"/>
  <c r="G25" i="24"/>
  <c r="G19" i="24"/>
  <c r="G17" i="24"/>
  <c r="I14" i="24"/>
  <c r="H11" i="24"/>
  <c r="F9" i="24"/>
  <c r="K12" i="24"/>
  <c r="K51" i="24"/>
  <c r="G35" i="24"/>
  <c r="K28" i="24"/>
  <c r="F35" i="24"/>
  <c r="J28" i="24"/>
  <c r="H10" i="24"/>
  <c r="E51" i="24"/>
  <c r="K58" i="24"/>
  <c r="G12" i="24"/>
  <c r="I9" i="24"/>
  <c r="I43" i="24"/>
  <c r="G41" i="24"/>
  <c r="F36" i="24"/>
  <c r="F28" i="24"/>
  <c r="I19" i="24"/>
  <c r="H17" i="24"/>
  <c r="E12" i="24"/>
  <c r="K39" i="1" s="1"/>
  <c r="J59" i="24"/>
  <c r="I57" i="24"/>
  <c r="I53" i="24"/>
  <c r="K49" i="24"/>
  <c r="F43" i="24"/>
  <c r="J35" i="24"/>
  <c r="J33" i="24"/>
  <c r="H29" i="24"/>
  <c r="F19" i="24"/>
  <c r="F17" i="24"/>
  <c r="K10" i="24"/>
  <c r="G6" i="24"/>
  <c r="H55" i="24"/>
  <c r="G55" i="24"/>
  <c r="I55" i="24"/>
  <c r="J55" i="24"/>
  <c r="K55" i="24"/>
  <c r="E55" i="24"/>
  <c r="H47" i="24"/>
  <c r="I47" i="24"/>
  <c r="F47" i="24"/>
  <c r="G47" i="24"/>
  <c r="J47" i="24"/>
  <c r="K47" i="24"/>
  <c r="H39" i="24"/>
  <c r="I39" i="24"/>
  <c r="F39" i="24"/>
  <c r="G39" i="24"/>
  <c r="J39" i="24"/>
  <c r="H31" i="24"/>
  <c r="I31" i="24"/>
  <c r="G31" i="24"/>
  <c r="E31" i="24"/>
  <c r="J31" i="24"/>
  <c r="K31" i="24"/>
  <c r="H23" i="24"/>
  <c r="I23" i="24"/>
  <c r="E23" i="24"/>
  <c r="F23" i="24"/>
  <c r="G23" i="24"/>
  <c r="J23" i="24"/>
  <c r="K23" i="24"/>
  <c r="H15" i="24"/>
  <c r="I15" i="24"/>
  <c r="K15" i="24"/>
  <c r="E15" i="24"/>
  <c r="F15" i="24"/>
  <c r="G15" i="24"/>
  <c r="H8" i="24"/>
  <c r="I8" i="24"/>
  <c r="F8" i="24"/>
  <c r="G8" i="24"/>
  <c r="J8" i="24"/>
  <c r="K8" i="24"/>
  <c r="E8" i="24"/>
  <c r="K45" i="1" s="1"/>
  <c r="K4" i="24"/>
  <c r="E4" i="24"/>
  <c r="F4" i="24"/>
  <c r="J4" i="24"/>
  <c r="I4" i="24"/>
  <c r="F54" i="24"/>
  <c r="E54" i="24"/>
  <c r="G54" i="24"/>
  <c r="H54" i="24"/>
  <c r="I54" i="24"/>
  <c r="J54" i="24"/>
  <c r="K54" i="24"/>
  <c r="F46" i="24"/>
  <c r="E46" i="24"/>
  <c r="G46" i="24"/>
  <c r="K46" i="24"/>
  <c r="H46" i="24"/>
  <c r="I46" i="24"/>
  <c r="F38" i="24"/>
  <c r="E38" i="24"/>
  <c r="G38" i="24"/>
  <c r="H38" i="24"/>
  <c r="I38" i="24"/>
  <c r="J38" i="24"/>
  <c r="K38" i="24"/>
  <c r="F30" i="24"/>
  <c r="E30" i="24"/>
  <c r="K37" i="1" s="1"/>
  <c r="G30" i="24"/>
  <c r="H30" i="24"/>
  <c r="I30" i="24"/>
  <c r="J30" i="24"/>
  <c r="K30" i="24"/>
  <c r="F22" i="24"/>
  <c r="E22" i="24"/>
  <c r="G22" i="24"/>
  <c r="J22" i="24"/>
  <c r="K22" i="24"/>
  <c r="H22" i="24"/>
  <c r="F7" i="24"/>
  <c r="E7" i="24"/>
  <c r="G7" i="24"/>
  <c r="H7" i="24"/>
  <c r="I7" i="24"/>
  <c r="J7" i="24"/>
  <c r="E47" i="24"/>
  <c r="G4" i="24"/>
  <c r="I22" i="24"/>
  <c r="K7" i="24"/>
  <c r="H4" i="24"/>
  <c r="K39" i="24"/>
  <c r="E39" i="24"/>
  <c r="E45" i="24"/>
  <c r="G53" i="24"/>
  <c r="I37" i="24"/>
  <c r="F29" i="24"/>
  <c r="K21" i="24"/>
  <c r="H14" i="24"/>
  <c r="J52" i="24"/>
  <c r="K52" i="24"/>
  <c r="J44" i="24"/>
  <c r="K44" i="24"/>
  <c r="J36" i="24"/>
  <c r="K36" i="24"/>
  <c r="J20" i="24"/>
  <c r="K20" i="24"/>
  <c r="J13" i="24"/>
  <c r="K13" i="24"/>
  <c r="J5" i="24"/>
  <c r="K5" i="24"/>
  <c r="E53" i="24"/>
  <c r="E44" i="24"/>
  <c r="K40" i="1" s="1"/>
  <c r="I60" i="24"/>
  <c r="F53" i="24"/>
  <c r="K45" i="24"/>
  <c r="G44" i="24"/>
  <c r="H37" i="24"/>
  <c r="J21" i="24"/>
  <c r="F20" i="24"/>
  <c r="G14" i="24"/>
  <c r="H5" i="24"/>
  <c r="E66" i="24"/>
  <c r="K30" i="1" s="1"/>
  <c r="E52" i="24"/>
  <c r="K49" i="1" s="1"/>
  <c r="K66" i="24"/>
  <c r="H60" i="24"/>
  <c r="I52" i="24"/>
  <c r="J45" i="24"/>
  <c r="F44" i="24"/>
  <c r="G37" i="24"/>
  <c r="I21" i="24"/>
  <c r="F14" i="24"/>
  <c r="K6" i="24"/>
  <c r="G5" i="24"/>
  <c r="F50" i="24"/>
  <c r="G50" i="24"/>
  <c r="F42" i="24"/>
  <c r="G42" i="24"/>
  <c r="F34" i="24"/>
  <c r="G34" i="24"/>
  <c r="F27" i="24"/>
  <c r="G27" i="24"/>
  <c r="F18" i="24"/>
  <c r="G18" i="24"/>
  <c r="F11" i="24"/>
  <c r="G11" i="24"/>
  <c r="E60" i="24"/>
  <c r="E42" i="24"/>
  <c r="E6" i="24"/>
  <c r="J66" i="24"/>
  <c r="G60" i="24"/>
  <c r="J58" i="24"/>
  <c r="H52" i="24"/>
  <c r="K50" i="24"/>
  <c r="I45" i="24"/>
  <c r="H42" i="24"/>
  <c r="K29" i="24"/>
  <c r="J27" i="24"/>
  <c r="H21" i="24"/>
  <c r="I13" i="24"/>
  <c r="J6" i="24"/>
  <c r="F5" i="24"/>
  <c r="E50" i="24"/>
  <c r="E41" i="24"/>
  <c r="E14" i="24"/>
  <c r="E5" i="24"/>
  <c r="K25" i="1" s="1"/>
  <c r="I66" i="24"/>
  <c r="F60" i="24"/>
  <c r="I58" i="24"/>
  <c r="K53" i="24"/>
  <c r="G52" i="24"/>
  <c r="J50" i="24"/>
  <c r="F49" i="24"/>
  <c r="H45" i="24"/>
  <c r="K41" i="24"/>
  <c r="I36" i="24"/>
  <c r="H33" i="24"/>
  <c r="J29" i="24"/>
  <c r="I27" i="24"/>
  <c r="G21" i="24"/>
  <c r="J17" i="24"/>
  <c r="H13" i="24"/>
  <c r="K11" i="24"/>
  <c r="G10" i="24"/>
  <c r="I6" i="24"/>
  <c r="J48" i="24"/>
  <c r="K48" i="24"/>
  <c r="J40" i="24"/>
  <c r="K40" i="24"/>
  <c r="J32" i="24"/>
  <c r="K32" i="24"/>
  <c r="J25" i="24"/>
  <c r="K25" i="24"/>
  <c r="J16" i="24"/>
  <c r="K16" i="24"/>
  <c r="J9" i="24"/>
  <c r="K9" i="24"/>
  <c r="E58" i="24"/>
  <c r="E40" i="24"/>
  <c r="E21" i="24"/>
  <c r="E13" i="24"/>
  <c r="H58" i="24"/>
  <c r="K56" i="24"/>
  <c r="F52" i="24"/>
  <c r="I50" i="24"/>
  <c r="I48" i="24"/>
  <c r="F40" i="24"/>
  <c r="H36" i="24"/>
  <c r="K34" i="24"/>
  <c r="H27" i="24"/>
  <c r="H25" i="24"/>
  <c r="G13" i="24"/>
  <c r="J11" i="24"/>
  <c r="L29" i="1"/>
  <c r="L23" i="1"/>
  <c r="L17" i="1"/>
  <c r="L13" i="1"/>
  <c r="L66" i="1"/>
  <c r="E23" i="19" s="1"/>
  <c r="R55" i="1"/>
  <c r="L55" i="1"/>
  <c r="R27" i="1"/>
  <c r="L44" i="1"/>
  <c r="I23" i="19" s="1"/>
  <c r="L43" i="1"/>
  <c r="R58" i="1"/>
  <c r="L38" i="1"/>
  <c r="E24" i="19" s="1"/>
  <c r="L26" i="1"/>
  <c r="L11" i="1"/>
  <c r="R50" i="1"/>
  <c r="L3" i="1"/>
  <c r="E27" i="19" s="1"/>
  <c r="L4" i="1"/>
  <c r="E21" i="19" s="1"/>
  <c r="L22" i="1"/>
  <c r="I21" i="19" s="1"/>
  <c r="L24" i="1"/>
  <c r="I30" i="19" s="1"/>
  <c r="L21" i="1"/>
  <c r="R44" i="1"/>
  <c r="R24" i="1"/>
  <c r="L20" i="1"/>
  <c r="R15" i="1"/>
  <c r="L16" i="1"/>
  <c r="R17" i="1"/>
  <c r="E36" i="19" l="1"/>
  <c r="E22" i="19"/>
  <c r="E37" i="19"/>
  <c r="E5" i="19"/>
  <c r="I38" i="19"/>
  <c r="I6" i="19"/>
  <c r="E39" i="19"/>
  <c r="E7" i="19"/>
  <c r="I37" i="19"/>
  <c r="I39" i="19"/>
  <c r="I7" i="19"/>
  <c r="I46" i="19"/>
  <c r="I14" i="19"/>
  <c r="E42" i="19"/>
  <c r="E10" i="19"/>
  <c r="E8" i="19"/>
  <c r="E40" i="19"/>
  <c r="E6" i="19"/>
  <c r="E38" i="19"/>
  <c r="K48" i="1"/>
  <c r="K60" i="1"/>
  <c r="K52" i="1"/>
  <c r="K18" i="1"/>
  <c r="K31" i="1"/>
  <c r="K54" i="1"/>
  <c r="K63" i="1"/>
  <c r="K46" i="1"/>
  <c r="K44" i="1"/>
  <c r="K29" i="1"/>
  <c r="K22" i="1"/>
  <c r="K38" i="1"/>
  <c r="K24" i="1"/>
  <c r="K3" i="1"/>
  <c r="K11" i="1"/>
  <c r="K13" i="1"/>
  <c r="K4" i="1"/>
  <c r="K43" i="1"/>
  <c r="K26" i="1"/>
  <c r="K66" i="1"/>
  <c r="K21" i="1"/>
  <c r="K16" i="1"/>
  <c r="K20" i="1"/>
  <c r="K17" i="1"/>
  <c r="K23" i="1"/>
  <c r="K55" i="1"/>
  <c r="G67" i="24"/>
  <c r="I67" i="24"/>
  <c r="J67" i="24"/>
  <c r="F67" i="24"/>
  <c r="K67" i="24"/>
  <c r="H67" i="24"/>
  <c r="K5" i="1" l="1"/>
  <c r="L10" i="1" l="1"/>
  <c r="E46" i="19" l="1"/>
  <c r="K10" i="1"/>
  <c r="R12" i="1"/>
  <c r="L5" i="1"/>
  <c r="L50" i="1"/>
  <c r="L59" i="1"/>
  <c r="L32" i="1"/>
  <c r="L58" i="1"/>
  <c r="E25" i="19" s="1"/>
  <c r="L35" i="1"/>
  <c r="L7" i="1"/>
  <c r="L9" i="1"/>
  <c r="L51" i="1"/>
  <c r="L19" i="1"/>
  <c r="L14" i="1"/>
  <c r="L15" i="1"/>
  <c r="L12" i="1"/>
  <c r="L61" i="1"/>
  <c r="L8" i="1"/>
  <c r="E47" i="19" l="1"/>
  <c r="I5" i="19"/>
  <c r="I22" i="19"/>
  <c r="N32" i="19" s="1"/>
  <c r="E31" i="19"/>
  <c r="E44" i="19"/>
  <c r="E9" i="19"/>
  <c r="E11" i="19"/>
  <c r="E43" i="19"/>
  <c r="I40" i="19"/>
  <c r="I8" i="19"/>
  <c r="I44" i="19"/>
  <c r="I12" i="19"/>
  <c r="E14" i="19"/>
  <c r="E41" i="19"/>
  <c r="I41" i="19"/>
  <c r="I9" i="19"/>
  <c r="E13" i="19"/>
  <c r="E45" i="19"/>
  <c r="E15" i="19"/>
  <c r="N31" i="19" l="1"/>
  <c r="N48" i="19"/>
  <c r="N47" i="19"/>
  <c r="N15" i="19"/>
  <c r="N16" i="19"/>
  <c r="R3" i="1"/>
  <c r="R29" i="1"/>
  <c r="R10" i="1"/>
  <c r="R13" i="1"/>
  <c r="K32" i="1" l="1"/>
  <c r="K8" i="1"/>
  <c r="K14" i="1"/>
  <c r="R23" i="1"/>
  <c r="R48" i="1"/>
  <c r="R4" i="1"/>
  <c r="R35" i="1"/>
  <c r="R52" i="1"/>
  <c r="R41" i="1"/>
  <c r="R28" i="1"/>
  <c r="R32" i="1"/>
  <c r="R38" i="1"/>
  <c r="R46" i="1"/>
  <c r="R49" i="1"/>
  <c r="R20" i="1"/>
  <c r="E5" i="9"/>
  <c r="E4" i="9"/>
  <c r="G4" i="9" s="1"/>
  <c r="E3" i="9"/>
  <c r="H3" i="9" s="1"/>
  <c r="D4" i="19" l="1"/>
  <c r="O12" i="19" s="1"/>
  <c r="D20" i="19"/>
  <c r="O28" i="19" s="1"/>
  <c r="D36" i="19"/>
  <c r="O44" i="19" s="1"/>
  <c r="K58" i="1"/>
  <c r="K9" i="1"/>
  <c r="K19" i="1"/>
  <c r="K59" i="1"/>
  <c r="K12" i="1"/>
  <c r="K51" i="1"/>
  <c r="K35" i="1"/>
  <c r="K61" i="1"/>
  <c r="K7" i="1"/>
  <c r="K50" i="1"/>
  <c r="K15" i="1"/>
  <c r="M52" i="11"/>
  <c r="A55" i="11"/>
  <c r="A11" i="11"/>
  <c r="A53" i="11"/>
  <c r="A37" i="11"/>
  <c r="A8" i="11"/>
  <c r="M24" i="11"/>
  <c r="B55" i="11"/>
  <c r="D55" i="11" s="1"/>
  <c r="L51" i="11"/>
  <c r="J51" i="11" s="1"/>
  <c r="B46" i="11"/>
  <c r="D46" i="11" s="1"/>
  <c r="A25" i="11"/>
  <c r="M53" i="11"/>
  <c r="M7" i="11"/>
  <c r="M23" i="11"/>
  <c r="L48" i="11"/>
  <c r="J48" i="11" s="1"/>
  <c r="M37" i="11"/>
  <c r="A47" i="11"/>
  <c r="A38" i="11"/>
  <c r="A48" i="11"/>
  <c r="M15" i="11"/>
  <c r="M55" i="11"/>
  <c r="A50" i="11"/>
  <c r="L54" i="11"/>
  <c r="J54" i="11" s="1"/>
  <c r="B48" i="11"/>
  <c r="D48" i="11" s="1"/>
  <c r="B51" i="11"/>
  <c r="D51" i="11" s="1"/>
  <c r="A56" i="11"/>
  <c r="M50" i="11"/>
  <c r="A23" i="11"/>
  <c r="M47" i="11"/>
  <c r="A35" i="11"/>
  <c r="B56" i="11"/>
  <c r="D56" i="11" s="1"/>
  <c r="A26" i="11"/>
  <c r="M10" i="11"/>
  <c r="M35" i="11"/>
  <c r="M8" i="11"/>
  <c r="M38" i="11"/>
  <c r="A9" i="11"/>
  <c r="M25" i="11"/>
  <c r="M13" i="11"/>
  <c r="M12" i="11"/>
  <c r="L56" i="11"/>
  <c r="J56" i="11" s="1"/>
  <c r="L52" i="11"/>
  <c r="J52" i="11" s="1"/>
  <c r="A13" i="11"/>
  <c r="A12" i="11"/>
  <c r="A54" i="11"/>
  <c r="A39" i="11"/>
  <c r="M26" i="11"/>
  <c r="M14" i="11"/>
  <c r="L47" i="11"/>
  <c r="J47" i="11" s="1"/>
  <c r="L53" i="11"/>
  <c r="J53" i="11" s="1"/>
  <c r="A49" i="11"/>
  <c r="M27" i="11"/>
  <c r="A10" i="11"/>
  <c r="A51" i="11"/>
  <c r="L55" i="11"/>
  <c r="J55" i="11" s="1"/>
  <c r="M48" i="11"/>
  <c r="A24" i="11"/>
  <c r="A52" i="11"/>
  <c r="M6" i="11"/>
  <c r="L50" i="11"/>
  <c r="J50" i="11" s="1"/>
  <c r="B50" i="11"/>
  <c r="D50" i="11" s="1"/>
  <c r="M9" i="11"/>
  <c r="A6" i="11"/>
  <c r="B53" i="11"/>
  <c r="D53" i="11" s="1"/>
  <c r="M11" i="11"/>
  <c r="M56" i="11"/>
  <c r="B49" i="11"/>
  <c r="D49" i="11" s="1"/>
  <c r="A7" i="11"/>
  <c r="B47" i="11"/>
  <c r="D47" i="11" s="1"/>
  <c r="M51" i="11"/>
  <c r="A27" i="11"/>
  <c r="L49" i="11"/>
  <c r="J49" i="11" s="1"/>
  <c r="M36" i="11"/>
  <c r="M49" i="11"/>
  <c r="A14" i="11"/>
  <c r="M54" i="11"/>
  <c r="B54" i="11"/>
  <c r="D54" i="11" s="1"/>
  <c r="M39" i="11"/>
  <c r="B57" i="11"/>
  <c r="D57" i="11" s="1"/>
  <c r="A15" i="11"/>
  <c r="A36" i="11"/>
  <c r="B52" i="11"/>
  <c r="D52" i="11" s="1"/>
  <c r="H4" i="9"/>
  <c r="G3" i="9"/>
  <c r="L39" i="11"/>
  <c r="L27" i="11"/>
  <c r="L13" i="11"/>
  <c r="B40" i="11"/>
  <c r="D40" i="11" s="1"/>
  <c r="B24" i="11"/>
  <c r="B8" i="11"/>
  <c r="B6" i="11"/>
  <c r="L15" i="11"/>
  <c r="B26" i="11"/>
  <c r="L38" i="11"/>
  <c r="L8" i="11"/>
  <c r="B11" i="11"/>
  <c r="B23" i="11"/>
  <c r="L24" i="11"/>
  <c r="B13" i="11"/>
  <c r="L36" i="11"/>
  <c r="L23" i="11"/>
  <c r="L14" i="11"/>
  <c r="B36" i="11"/>
  <c r="B25" i="11"/>
  <c r="B9" i="11"/>
  <c r="B5" i="11"/>
  <c r="D5" i="11" s="1"/>
  <c r="L37" i="11"/>
  <c r="L7" i="11"/>
  <c r="B37" i="11"/>
  <c r="B10" i="11"/>
  <c r="L6" i="11"/>
  <c r="B38" i="11"/>
  <c r="B27" i="11"/>
  <c r="L35" i="11"/>
  <c r="B12" i="11"/>
  <c r="L10" i="11"/>
  <c r="B35" i="11"/>
  <c r="L25" i="11"/>
  <c r="L11" i="11"/>
  <c r="B34" i="11"/>
  <c r="D34" i="11" s="1"/>
  <c r="B16" i="11"/>
  <c r="B14" i="11"/>
  <c r="L26" i="11"/>
  <c r="L12" i="11"/>
  <c r="B28" i="11"/>
  <c r="D28" i="11" s="1"/>
  <c r="B7" i="11"/>
  <c r="B15" i="11"/>
  <c r="L9" i="11"/>
  <c r="B39" i="11"/>
  <c r="B22" i="11"/>
  <c r="D22" i="11" s="1"/>
  <c r="D47" i="19" l="1"/>
  <c r="O45" i="19" s="1"/>
  <c r="O46" i="19" s="1"/>
  <c r="D15" i="19"/>
  <c r="O13" i="19" s="1"/>
  <c r="O14" i="19" s="1"/>
  <c r="D31" i="19"/>
  <c r="O29" i="19" s="1"/>
  <c r="O30" i="19" s="1"/>
  <c r="N71" i="1"/>
  <c r="N72" i="1"/>
  <c r="N70" i="1"/>
  <c r="O69" i="1"/>
  <c r="O70" i="1"/>
  <c r="O71" i="1"/>
  <c r="N69" i="1"/>
  <c r="O72" i="1"/>
  <c r="P51" i="11"/>
  <c r="P52" i="11"/>
  <c r="P47" i="11"/>
  <c r="P46" i="11"/>
  <c r="D16" i="11"/>
  <c r="P6" i="11"/>
  <c r="C25" i="11"/>
  <c r="D25" i="11"/>
  <c r="C11" i="11"/>
  <c r="D11" i="11"/>
  <c r="K11" i="11"/>
  <c r="J11" i="11"/>
  <c r="K13" i="11"/>
  <c r="J13" i="11"/>
  <c r="C10" i="11"/>
  <c r="D10" i="11"/>
  <c r="K14" i="11"/>
  <c r="J14" i="11"/>
  <c r="C35" i="11"/>
  <c r="P33" i="11"/>
  <c r="D35" i="11"/>
  <c r="C37" i="11"/>
  <c r="D37" i="11"/>
  <c r="K23" i="11"/>
  <c r="P22" i="11"/>
  <c r="J23" i="11"/>
  <c r="C26" i="11"/>
  <c r="D26" i="11"/>
  <c r="K39" i="11"/>
  <c r="J39" i="11"/>
  <c r="K12" i="11"/>
  <c r="J12" i="11"/>
  <c r="K10" i="11"/>
  <c r="J10" i="11"/>
  <c r="K7" i="11"/>
  <c r="J7" i="11"/>
  <c r="K36" i="11"/>
  <c r="J36" i="11"/>
  <c r="K15" i="11"/>
  <c r="J15" i="11"/>
  <c r="C39" i="11"/>
  <c r="D39" i="11"/>
  <c r="C27" i="11"/>
  <c r="D27" i="11"/>
  <c r="C23" i="11"/>
  <c r="P21" i="11"/>
  <c r="D23" i="11"/>
  <c r="K9" i="11"/>
  <c r="J9" i="11"/>
  <c r="C38" i="11"/>
  <c r="D38" i="11"/>
  <c r="C36" i="11"/>
  <c r="D36" i="11"/>
  <c r="C7" i="11"/>
  <c r="D7" i="11"/>
  <c r="K38" i="11"/>
  <c r="J38" i="11"/>
  <c r="K26" i="11"/>
  <c r="J26" i="11"/>
  <c r="C12" i="11"/>
  <c r="D12" i="11"/>
  <c r="K37" i="11"/>
  <c r="J37" i="11"/>
  <c r="C13" i="11"/>
  <c r="D13" i="11"/>
  <c r="P5" i="11"/>
  <c r="C6" i="11"/>
  <c r="D6" i="11"/>
  <c r="C9" i="11"/>
  <c r="D9" i="11"/>
  <c r="C24" i="11"/>
  <c r="D24" i="11"/>
  <c r="C15" i="11"/>
  <c r="D15" i="11"/>
  <c r="K6" i="11"/>
  <c r="J6" i="11"/>
  <c r="K8" i="11"/>
  <c r="J8" i="11"/>
  <c r="K25" i="11"/>
  <c r="J25" i="11"/>
  <c r="K27" i="11"/>
  <c r="J27" i="11"/>
  <c r="C14" i="11"/>
  <c r="D14" i="11"/>
  <c r="K35" i="11"/>
  <c r="P34" i="11"/>
  <c r="J35" i="11"/>
  <c r="K24" i="11"/>
  <c r="J24" i="11"/>
  <c r="C8" i="11"/>
  <c r="D8" i="11"/>
  <c r="P53" i="11" l="1"/>
  <c r="Q47" i="11"/>
  <c r="P48" i="11"/>
  <c r="Q6" i="11"/>
  <c r="P7" i="11"/>
  <c r="P24" i="11"/>
  <c r="P14" i="11"/>
  <c r="P37" i="11"/>
  <c r="P39" i="11"/>
  <c r="P13" i="11"/>
  <c r="P35" i="11"/>
  <c r="Q34" i="11"/>
  <c r="P9" i="11"/>
  <c r="P36" i="11"/>
  <c r="Q22" i="11"/>
  <c r="P23" i="11"/>
  <c r="P10" i="11"/>
  <c r="P25" i="11"/>
  <c r="P28" i="11"/>
  <c r="P27" i="11"/>
  <c r="P40" i="11"/>
  <c r="P15" i="11" l="1"/>
  <c r="P26" i="11"/>
  <c r="P11" i="11"/>
  <c r="P29" i="11"/>
  <c r="P41" i="11"/>
  <c r="P38" i="11"/>
</calcChain>
</file>

<file path=xl/sharedStrings.xml><?xml version="1.0" encoding="utf-8"?>
<sst xmlns="http://schemas.openxmlformats.org/spreadsheetml/2006/main" count="828" uniqueCount="273">
  <si>
    <t>Weight</t>
  </si>
  <si>
    <t>Name</t>
  </si>
  <si>
    <t>LHS</t>
  </si>
  <si>
    <t>RHS</t>
  </si>
  <si>
    <t>DIFFERENCE</t>
  </si>
  <si>
    <t>Weights</t>
  </si>
  <si>
    <t>Fore/Aft</t>
  </si>
  <si>
    <t>Fore</t>
  </si>
  <si>
    <t>Aft</t>
  </si>
  <si>
    <t>Force</t>
  </si>
  <si>
    <t>Empty</t>
  </si>
  <si>
    <t>LHS kg</t>
  </si>
  <si>
    <t>RHS kg</t>
  </si>
  <si>
    <t>Yes</t>
  </si>
  <si>
    <t>Men</t>
  </si>
  <si>
    <t>Women</t>
  </si>
  <si>
    <t>Left</t>
  </si>
  <si>
    <t>Right</t>
  </si>
  <si>
    <t>No. Races</t>
  </si>
  <si>
    <t>Richard Chan</t>
  </si>
  <si>
    <t>Janet Buckley</t>
  </si>
  <si>
    <t xml:space="preserve">Emergencies: </t>
  </si>
  <si>
    <t>Ruth Gallant</t>
  </si>
  <si>
    <t>Janet</t>
  </si>
  <si>
    <t>Buckley</t>
  </si>
  <si>
    <t>Lili</t>
  </si>
  <si>
    <t>Chan</t>
  </si>
  <si>
    <t>Annette</t>
  </si>
  <si>
    <t>Chappel</t>
  </si>
  <si>
    <t>Jenny</t>
  </si>
  <si>
    <t>Gibson</t>
  </si>
  <si>
    <t>Anne</t>
  </si>
  <si>
    <t>King</t>
  </si>
  <si>
    <t>Liston</t>
  </si>
  <si>
    <t>Zonda</t>
  </si>
  <si>
    <t>Lynn</t>
  </si>
  <si>
    <t>Philippa</t>
  </si>
  <si>
    <t>McLean</t>
  </si>
  <si>
    <t>Vicki</t>
  </si>
  <si>
    <t>Shannon</t>
  </si>
  <si>
    <t>Cathy</t>
  </si>
  <si>
    <t>Urie</t>
  </si>
  <si>
    <t>Walsh</t>
  </si>
  <si>
    <t>Williams</t>
  </si>
  <si>
    <t>Wayne</t>
  </si>
  <si>
    <t>Rob</t>
  </si>
  <si>
    <t>Joe</t>
  </si>
  <si>
    <t>Gomory</t>
  </si>
  <si>
    <t>Mike</t>
  </si>
  <si>
    <t>Lee</t>
  </si>
  <si>
    <t>David</t>
  </si>
  <si>
    <t>Nairn</t>
  </si>
  <si>
    <t>Ross</t>
  </si>
  <si>
    <t>Parker</t>
  </si>
  <si>
    <t>Paul</t>
  </si>
  <si>
    <t>Adrian</t>
  </si>
  <si>
    <t>Stephens</t>
  </si>
  <si>
    <t>Gordon</t>
  </si>
  <si>
    <t>Tribbick</t>
  </si>
  <si>
    <t>Marianne</t>
  </si>
  <si>
    <t>Ruth</t>
  </si>
  <si>
    <t>Gallant</t>
  </si>
  <si>
    <t>Rhonda</t>
  </si>
  <si>
    <t>Jacobs</t>
  </si>
  <si>
    <t>Lorna</t>
  </si>
  <si>
    <t>Jan</t>
  </si>
  <si>
    <t>Hagston</t>
  </si>
  <si>
    <t>Richard</t>
  </si>
  <si>
    <t>McGenniskin</t>
  </si>
  <si>
    <t>John</t>
  </si>
  <si>
    <t>Robinson</t>
  </si>
  <si>
    <t>Jeff</t>
  </si>
  <si>
    <t>Saunders</t>
  </si>
  <si>
    <t>Mark</t>
  </si>
  <si>
    <t>Wood</t>
  </si>
  <si>
    <t>First Name</t>
  </si>
  <si>
    <t>Surname</t>
  </si>
  <si>
    <t>Jill</t>
  </si>
  <si>
    <t>Hicks</t>
  </si>
  <si>
    <t>Colleen</t>
  </si>
  <si>
    <t>Sells</t>
  </si>
  <si>
    <t>Gender</t>
  </si>
  <si>
    <t>Regatta</t>
  </si>
  <si>
    <t>Wayne Chappel</t>
  </si>
  <si>
    <t>Solange</t>
  </si>
  <si>
    <t>Rossi</t>
  </si>
  <si>
    <t>Elizabeth</t>
  </si>
  <si>
    <t>Division</t>
  </si>
  <si>
    <t>Jun or Prem</t>
  </si>
  <si>
    <t>Sen A</t>
  </si>
  <si>
    <t>Sen B</t>
  </si>
  <si>
    <t>Sen C</t>
  </si>
  <si>
    <t>David Nairn</t>
  </si>
  <si>
    <t>Jeff Saunders</t>
  </si>
  <si>
    <t>Ones used in Adelaide Aus Champ's 2016</t>
  </si>
  <si>
    <t>Peisheng</t>
  </si>
  <si>
    <t>10s</t>
  </si>
  <si>
    <t>Mark 2.  Bought a few years ago</t>
  </si>
  <si>
    <t>Champion</t>
  </si>
  <si>
    <t>20s</t>
  </si>
  <si>
    <t>Middle to Drum</t>
  </si>
  <si>
    <t>Middle to Sweep</t>
  </si>
  <si>
    <t>Seat Spacing</t>
  </si>
  <si>
    <t>Half Length</t>
  </si>
  <si>
    <t>Overall Length</t>
  </si>
  <si>
    <t>Version</t>
  </si>
  <si>
    <t>Manufacturer</t>
  </si>
  <si>
    <t>Size</t>
  </si>
  <si>
    <t>YRDs boat. 9:12 Racing</t>
  </si>
  <si>
    <t>Peisheng 10s</t>
  </si>
  <si>
    <t>Champion 10s</t>
  </si>
  <si>
    <t>Burns</t>
  </si>
  <si>
    <t>Lisa</t>
  </si>
  <si>
    <t>Stephen</t>
  </si>
  <si>
    <t>Arrowsmith</t>
  </si>
  <si>
    <t>Clarke</t>
  </si>
  <si>
    <t>Annie</t>
  </si>
  <si>
    <t>Coates</t>
  </si>
  <si>
    <t>Nikki</t>
  </si>
  <si>
    <t>Ian</t>
  </si>
  <si>
    <t>Norman</t>
  </si>
  <si>
    <t>Claire</t>
  </si>
  <si>
    <t>Stewart</t>
  </si>
  <si>
    <t>M</t>
  </si>
  <si>
    <t>F</t>
  </si>
  <si>
    <t>Snr C Men</t>
  </si>
  <si>
    <t>Snr B Men</t>
  </si>
  <si>
    <t>Snr A Men</t>
  </si>
  <si>
    <t>Snr C Fem</t>
  </si>
  <si>
    <t>Snr B Fem</t>
  </si>
  <si>
    <t>Snr A Fem</t>
  </si>
  <si>
    <t>Age at Date</t>
  </si>
  <si>
    <t>Philippa McLean</t>
  </si>
  <si>
    <t>Mark Wood</t>
  </si>
  <si>
    <t>Therese Williams</t>
  </si>
  <si>
    <t>Gordon Tribbick</t>
  </si>
  <si>
    <t>Lorna Williams</t>
  </si>
  <si>
    <t>Jenny Walsh</t>
  </si>
  <si>
    <t>Cathy Urie</t>
  </si>
  <si>
    <t>Solange Rossi</t>
  </si>
  <si>
    <t>Paul Shannon</t>
  </si>
  <si>
    <t>Vicki Shannon</t>
  </si>
  <si>
    <t>Adrian Stephens</t>
  </si>
  <si>
    <t>John Robinson</t>
  </si>
  <si>
    <t>Ross Parker</t>
  </si>
  <si>
    <t>Mike McGenniskin</t>
  </si>
  <si>
    <t>Zonda Lynn</t>
  </si>
  <si>
    <t>Elizabeth Liston</t>
  </si>
  <si>
    <t>Anne King</t>
  </si>
  <si>
    <t>Joe Gomory</t>
  </si>
  <si>
    <t>Jenny Gibson</t>
  </si>
  <si>
    <t>Beverley Davison</t>
  </si>
  <si>
    <t>Annette Chappel</t>
  </si>
  <si>
    <t>Lili Chan</t>
  </si>
  <si>
    <t>Jill Hicks</t>
  </si>
  <si>
    <t>Rob Stewart</t>
  </si>
  <si>
    <t>Ian Norman</t>
  </si>
  <si>
    <t>Rhonda Jacobs</t>
  </si>
  <si>
    <t>Jan Hagston</t>
  </si>
  <si>
    <t>Colleen Sells</t>
  </si>
  <si>
    <t>Lisa Burns</t>
  </si>
  <si>
    <t>Claire Robinson</t>
  </si>
  <si>
    <t>Annie Coates</t>
  </si>
  <si>
    <t>Stephen Arrowsmith</t>
  </si>
  <si>
    <t>Nikki McKay</t>
  </si>
  <si>
    <t>Marianne Clarke</t>
  </si>
  <si>
    <t>Sweep</t>
  </si>
  <si>
    <t>Drummer</t>
  </si>
  <si>
    <t>SEAT LENGTH</t>
  </si>
  <si>
    <t>Fore-Aft Force</t>
  </si>
  <si>
    <t>Left/Right</t>
  </si>
  <si>
    <t>Left Force</t>
  </si>
  <si>
    <t>Right Force</t>
  </si>
  <si>
    <t>Weight kg</t>
  </si>
  <si>
    <t>Pref</t>
  </si>
  <si>
    <t>None</t>
  </si>
  <si>
    <t>New Champion 20s</t>
  </si>
  <si>
    <t>Old Champion Boat Template for Comparison</t>
  </si>
  <si>
    <t>I have used the same seat lengths as the Peishing because I have not had access to a Champion 10s to measure them.</t>
  </si>
  <si>
    <t>Target Range is -10 to +10</t>
  </si>
  <si>
    <t>Target Range is -20 to -120</t>
  </si>
  <si>
    <t>Ensure this is set to suit your event!!!!!!!</t>
  </si>
  <si>
    <t>Target Range is -5 to +5</t>
  </si>
  <si>
    <t>Target Range is -10 to -90</t>
  </si>
  <si>
    <t>McKay</t>
  </si>
  <si>
    <t>Gender (calculated)</t>
  </si>
  <si>
    <t>Catherine</t>
  </si>
  <si>
    <t>Riddoch</t>
  </si>
  <si>
    <t>Reserves</t>
  </si>
  <si>
    <t>Date of birth</t>
  </si>
  <si>
    <t>Catherine Riddoch</t>
  </si>
  <si>
    <t>In Team List</t>
  </si>
  <si>
    <t>V1</t>
  </si>
  <si>
    <t>Date</t>
  </si>
  <si>
    <t>Comment</t>
  </si>
  <si>
    <t>Change Author</t>
  </si>
  <si>
    <t>Hammond</t>
  </si>
  <si>
    <t>Mark Hammond</t>
  </si>
  <si>
    <t>Christel</t>
  </si>
  <si>
    <t>Hendrieckx</t>
  </si>
  <si>
    <t>Jennifer</t>
  </si>
  <si>
    <t>Atkins</t>
  </si>
  <si>
    <t>Donnelly</t>
  </si>
  <si>
    <t>Sue</t>
  </si>
  <si>
    <t>Burdon-Jones</t>
  </si>
  <si>
    <t>Ben</t>
  </si>
  <si>
    <t>Goldman</t>
  </si>
  <si>
    <t>Kamal</t>
  </si>
  <si>
    <t>Baidawi</t>
  </si>
  <si>
    <t>Driver</t>
  </si>
  <si>
    <t>Britt</t>
  </si>
  <si>
    <t>van Tatenhove</t>
  </si>
  <si>
    <t>Victor</t>
  </si>
  <si>
    <t>Usher</t>
  </si>
  <si>
    <t>No</t>
  </si>
  <si>
    <t>Ben Goldman</t>
  </si>
  <si>
    <t>Sweep/Drummer</t>
  </si>
  <si>
    <t>Paddling</t>
  </si>
  <si>
    <t>Reserve</t>
  </si>
  <si>
    <t xml:space="preserve">Weight </t>
  </si>
  <si>
    <t xml:space="preserve">Fore-Aft </t>
  </si>
  <si>
    <t>Vivienne</t>
  </si>
  <si>
    <t>Halat</t>
  </si>
  <si>
    <t>Sue Burdon-Jones</t>
  </si>
  <si>
    <t>Vivienne Halat</t>
  </si>
  <si>
    <t>Sharon</t>
  </si>
  <si>
    <t>Higgins</t>
  </si>
  <si>
    <t>Paul Driver</t>
  </si>
  <si>
    <t>Steve</t>
  </si>
  <si>
    <t>Jennifer Atkins</t>
  </si>
  <si>
    <t>Kamal Baidawi</t>
  </si>
  <si>
    <t>Davison</t>
  </si>
  <si>
    <t>Moffat</t>
  </si>
  <si>
    <t>John Moffat</t>
  </si>
  <si>
    <t xml:space="preserve"> </t>
  </si>
  <si>
    <t>10km time trial</t>
  </si>
  <si>
    <t>Senior C Mixed 20</t>
  </si>
  <si>
    <t>C</t>
  </si>
  <si>
    <t>Alex</t>
  </si>
  <si>
    <t>Ang</t>
  </si>
  <si>
    <t>Margaret</t>
  </si>
  <si>
    <t>Birrell</t>
  </si>
  <si>
    <t>Margaret Birrell</t>
  </si>
  <si>
    <t>Alex Ang</t>
  </si>
  <si>
    <t>Alan</t>
  </si>
  <si>
    <t>Blackman</t>
  </si>
  <si>
    <t>Alan Blackman</t>
  </si>
  <si>
    <t>Sharon Higgins</t>
  </si>
  <si>
    <t>Christel Hendrieckx</t>
  </si>
  <si>
    <t>Jennifer Donnelly</t>
  </si>
  <si>
    <t>Jenny Britt</t>
  </si>
  <si>
    <t>Mike Lee</t>
  </si>
  <si>
    <t>Victor Usher</t>
  </si>
  <si>
    <t>Sam</t>
  </si>
  <si>
    <t>Donato</t>
  </si>
  <si>
    <t>Sam Donato</t>
  </si>
  <si>
    <t>Kaplan</t>
  </si>
  <si>
    <t>Steve Kaplan</t>
  </si>
  <si>
    <t>Jit</t>
  </si>
  <si>
    <t>Lim</t>
  </si>
  <si>
    <t>Jit Lim</t>
  </si>
  <si>
    <t>McLatchie</t>
  </si>
  <si>
    <t>David McLatchie</t>
  </si>
  <si>
    <t>Teresa</t>
  </si>
  <si>
    <t>Pertzel</t>
  </si>
  <si>
    <t>Teresa Pertzel</t>
  </si>
  <si>
    <t>Beverley</t>
  </si>
  <si>
    <t>Therese</t>
  </si>
  <si>
    <t>Senior X Mixed 20</t>
  </si>
  <si>
    <t>200m</t>
  </si>
  <si>
    <t>Senior X Open 10</t>
  </si>
  <si>
    <t>500m</t>
  </si>
  <si>
    <t>Team list and DoB updated to match member list in Rev Sport. Misc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</si>
</sst>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auto="1"/>
      </bottom>
      <diagonal/>
    </border>
    <border>
      <left/>
      <right style="medium">
        <color indexed="64"/>
      </right>
      <top/>
      <bottom style="double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1" xfId="0" applyBorder="1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0" fillId="0" borderId="1" xfId="0" applyNumberFormat="1" applyBorder="1"/>
    <xf numFmtId="0" fontId="1" fillId="0" borderId="1" xfId="0" applyFont="1" applyBorder="1"/>
    <xf numFmtId="18" fontId="1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/>
    <xf numFmtId="165" fontId="0" fillId="0" borderId="0" xfId="0" applyNumberFormat="1"/>
    <xf numFmtId="0" fontId="1" fillId="3" borderId="0" xfId="0" applyFont="1" applyFill="1"/>
    <xf numFmtId="0" fontId="0" fillId="3" borderId="0" xfId="0" applyFill="1"/>
    <xf numFmtId="0" fontId="1" fillId="3" borderId="1" xfId="0" applyFont="1" applyFill="1" applyBorder="1"/>
    <xf numFmtId="18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1" fillId="0" borderId="1" xfId="0" applyFont="1" applyBorder="1" applyAlignment="1">
      <alignment horizontal="center" vertical="center"/>
    </xf>
    <xf numFmtId="0" fontId="1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/>
    <xf numFmtId="0" fontId="1" fillId="0" borderId="12" xfId="0" applyFont="1" applyBorder="1"/>
    <xf numFmtId="0" fontId="0" fillId="0" borderId="12" xfId="0" applyBorder="1"/>
    <xf numFmtId="0" fontId="0" fillId="0" borderId="5" xfId="0" applyBorder="1"/>
    <xf numFmtId="165" fontId="0" fillId="4" borderId="0" xfId="0" applyNumberFormat="1" applyFill="1"/>
    <xf numFmtId="165" fontId="0" fillId="2" borderId="0" xfId="0" applyNumberFormat="1" applyFill="1"/>
    <xf numFmtId="0" fontId="0" fillId="2" borderId="0" xfId="0" applyFill="1"/>
    <xf numFmtId="14" fontId="0" fillId="5" borderId="0" xfId="0" applyNumberFormat="1" applyFill="1"/>
    <xf numFmtId="0" fontId="0" fillId="0" borderId="13" xfId="0" applyBorder="1" applyAlignment="1">
      <alignment horizontal="left"/>
    </xf>
    <xf numFmtId="0" fontId="0" fillId="6" borderId="0" xfId="0" applyFill="1"/>
    <xf numFmtId="0" fontId="2" fillId="0" borderId="1" xfId="0" applyFont="1" applyBorder="1" applyAlignment="1">
      <alignment horizontal="left"/>
    </xf>
    <xf numFmtId="0" fontId="0" fillId="3" borderId="0" xfId="0" applyFill="1" applyAlignment="1">
      <alignment horizontal="left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5" borderId="1" xfId="0" applyFill="1" applyBorder="1" applyAlignment="1">
      <alignment horizontal="left"/>
    </xf>
    <xf numFmtId="0" fontId="2" fillId="0" borderId="0" xfId="0" applyFont="1" applyAlignment="1">
      <alignment horizontal="left"/>
    </xf>
    <xf numFmtId="164" fontId="0" fillId="7" borderId="1" xfId="0" applyNumberFormat="1" applyFill="1" applyBorder="1"/>
    <xf numFmtId="0" fontId="0" fillId="7" borderId="1" xfId="0" applyFill="1" applyBorder="1"/>
    <xf numFmtId="1" fontId="0" fillId="0" borderId="8" xfId="0" applyNumberFormat="1" applyBorder="1"/>
    <xf numFmtId="1" fontId="0" fillId="0" borderId="10" xfId="0" applyNumberFormat="1" applyBorder="1"/>
    <xf numFmtId="1" fontId="1" fillId="0" borderId="12" xfId="0" applyNumberFormat="1" applyFont="1" applyBorder="1"/>
    <xf numFmtId="1" fontId="0" fillId="0" borderId="6" xfId="0" applyNumberFormat="1" applyBorder="1"/>
    <xf numFmtId="1" fontId="0" fillId="0" borderId="12" xfId="0" applyNumberFormat="1" applyBorder="1"/>
    <xf numFmtId="1" fontId="0" fillId="0" borderId="0" xfId="0" applyNumberFormat="1"/>
    <xf numFmtId="1" fontId="1" fillId="0" borderId="0" xfId="0" applyNumberFormat="1" applyFont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/>
    </xf>
    <xf numFmtId="164" fontId="0" fillId="2" borderId="1" xfId="0" applyNumberFormat="1" applyFill="1" applyBorder="1"/>
    <xf numFmtId="0" fontId="0" fillId="0" borderId="16" xfId="0" applyBorder="1"/>
    <xf numFmtId="14" fontId="0" fillId="0" borderId="16" xfId="0" applyNumberFormat="1" applyBorder="1"/>
    <xf numFmtId="14" fontId="0" fillId="0" borderId="0" xfId="0" applyNumberFormat="1"/>
    <xf numFmtId="16" fontId="0" fillId="0" borderId="0" xfId="0" applyNumberFormat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Normal 3" xfId="1" xr:uid="{00000000-0005-0000-0000-000001000000}"/>
  </cellStyles>
  <dxfs count="34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ill>
        <patternFill>
          <bgColor rgb="FFC00000"/>
        </patternFill>
      </fill>
    </dxf>
    <dxf>
      <font>
        <color rgb="FF0070C0"/>
      </font>
    </dxf>
    <dxf>
      <font>
        <color rgb="FFE47CB2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E47CB2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70C0"/>
      </font>
    </dxf>
    <dxf>
      <font>
        <color rgb="FFE47CB2"/>
      </font>
    </dxf>
    <dxf>
      <font>
        <color rgb="FF0070C0"/>
      </font>
    </dxf>
    <dxf>
      <font>
        <color rgb="FFE47CB2"/>
      </font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70C0"/>
      </font>
    </dxf>
    <dxf>
      <font>
        <color rgb="FFE47CB2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E47CB2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70C0"/>
      </font>
    </dxf>
    <dxf>
      <font>
        <color rgb="FFE47CB2"/>
      </font>
    </dxf>
    <dxf>
      <font>
        <color rgb="FF0070C0"/>
      </font>
    </dxf>
    <dxf>
      <font>
        <color rgb="FFE47CB2"/>
      </font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E47CB2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70C0"/>
      </font>
    </dxf>
    <dxf>
      <font>
        <color rgb="FFE47CB2"/>
      </font>
    </dxf>
    <dxf>
      <font>
        <color theme="0" tint="-0.24994659260841701"/>
      </font>
    </dxf>
    <dxf>
      <font>
        <color rgb="FF0070C0"/>
      </font>
    </dxf>
    <dxf>
      <font>
        <color rgb="FFE47CB2"/>
      </font>
    </dxf>
  </dxfs>
  <tableStyles count="0" defaultTableStyle="TableStyleMedium9" defaultPivotStyle="PivotStyleLight16"/>
  <colors>
    <mruColors>
      <color rgb="FFE47CB2"/>
      <color rgb="FFE6B8B8"/>
      <color rgb="FFFF99CC"/>
      <color rgb="FFF7A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bout:blank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at Details"/>
      <sheetName val="State Senior B"/>
      <sheetName val="Team List"/>
    </sheetNames>
    <sheetDataSet>
      <sheetData sheetId="0"/>
      <sheetData sheetId="1" refreshError="1"/>
      <sheetData sheetId="2">
        <row r="5">
          <cell r="D5">
            <v>0</v>
          </cell>
        </row>
        <row r="6">
          <cell r="D6" t="str">
            <v>Female</v>
          </cell>
        </row>
        <row r="7">
          <cell r="D7" t="str">
            <v>Female</v>
          </cell>
        </row>
        <row r="8">
          <cell r="D8" t="str">
            <v>Female</v>
          </cell>
        </row>
        <row r="9">
          <cell r="D9" t="str">
            <v>Female</v>
          </cell>
        </row>
        <row r="10">
          <cell r="D10" t="str">
            <v>Female</v>
          </cell>
        </row>
        <row r="11">
          <cell r="D11" t="str">
            <v>Female</v>
          </cell>
        </row>
        <row r="12">
          <cell r="D12" t="str">
            <v>Female</v>
          </cell>
        </row>
        <row r="13">
          <cell r="D13" t="str">
            <v>Female</v>
          </cell>
        </row>
        <row r="14">
          <cell r="D14" t="str">
            <v>Female</v>
          </cell>
        </row>
        <row r="15">
          <cell r="D15" t="str">
            <v>Female</v>
          </cell>
        </row>
        <row r="16">
          <cell r="D16" t="str">
            <v>Female</v>
          </cell>
        </row>
        <row r="17">
          <cell r="D17" t="str">
            <v>Female</v>
          </cell>
        </row>
        <row r="18">
          <cell r="D18" t="str">
            <v>Female</v>
          </cell>
        </row>
        <row r="19">
          <cell r="D19" t="str">
            <v>Female</v>
          </cell>
        </row>
        <row r="20">
          <cell r="D20" t="str">
            <v>Female</v>
          </cell>
        </row>
        <row r="21">
          <cell r="D21" t="str">
            <v>Female</v>
          </cell>
        </row>
        <row r="22">
          <cell r="D22" t="str">
            <v>Female</v>
          </cell>
        </row>
        <row r="23">
          <cell r="D23" t="str">
            <v>Female</v>
          </cell>
        </row>
        <row r="24">
          <cell r="D24" t="str">
            <v>Female</v>
          </cell>
        </row>
        <row r="25">
          <cell r="D25" t="str">
            <v>Female</v>
          </cell>
        </row>
        <row r="26">
          <cell r="D26" t="str">
            <v>Male</v>
          </cell>
        </row>
        <row r="27">
          <cell r="D27" t="str">
            <v>Male</v>
          </cell>
        </row>
        <row r="28">
          <cell r="D28" t="str">
            <v>Male</v>
          </cell>
        </row>
        <row r="29">
          <cell r="D29" t="str">
            <v>Male</v>
          </cell>
        </row>
        <row r="30">
          <cell r="D30" t="str">
            <v>Male</v>
          </cell>
        </row>
        <row r="31">
          <cell r="D31" t="str">
            <v>Male</v>
          </cell>
        </row>
        <row r="32">
          <cell r="D32" t="str">
            <v>Male</v>
          </cell>
        </row>
        <row r="33">
          <cell r="D33" t="str">
            <v>Male</v>
          </cell>
        </row>
        <row r="34">
          <cell r="D34" t="str">
            <v>Male</v>
          </cell>
        </row>
        <row r="35">
          <cell r="D35" t="str">
            <v>Male</v>
          </cell>
        </row>
        <row r="36">
          <cell r="D36" t="str">
            <v>Male</v>
          </cell>
        </row>
        <row r="37">
          <cell r="D37" t="str">
            <v>Male</v>
          </cell>
        </row>
        <row r="38">
          <cell r="D38" t="str">
            <v>Male</v>
          </cell>
        </row>
        <row r="39">
          <cell r="D39" t="str">
            <v>Male</v>
          </cell>
        </row>
        <row r="40">
          <cell r="D40" t="str">
            <v>Male</v>
          </cell>
        </row>
        <row r="41">
          <cell r="D41" t="str">
            <v>Male</v>
          </cell>
        </row>
        <row r="42">
          <cell r="D42" t="str">
            <v>Male</v>
          </cell>
        </row>
        <row r="43">
          <cell r="D43" t="str">
            <v>Male</v>
          </cell>
        </row>
        <row r="44">
          <cell r="D44" t="str">
            <v>Male</v>
          </cell>
        </row>
        <row r="45">
          <cell r="D45" t="str">
            <v>Male</v>
          </cell>
        </row>
        <row r="46">
          <cell r="D46" t="str">
            <v>Male</v>
          </cell>
        </row>
        <row r="47">
          <cell r="D47" t="str">
            <v>Male</v>
          </cell>
        </row>
        <row r="48">
          <cell r="D48" t="str">
            <v>Male</v>
          </cell>
        </row>
        <row r="49">
          <cell r="D49" t="str">
            <v>Male</v>
          </cell>
        </row>
        <row r="50">
          <cell r="D50" t="str">
            <v>Male</v>
          </cell>
        </row>
        <row r="51">
          <cell r="D51" t="str">
            <v>Male</v>
          </cell>
        </row>
        <row r="52">
          <cell r="D52" t="str">
            <v>Male</v>
          </cell>
        </row>
        <row r="53">
          <cell r="D53" t="str">
            <v>Male</v>
          </cell>
        </row>
        <row r="54">
          <cell r="D54" t="str">
            <v>Male</v>
          </cell>
        </row>
        <row r="55">
          <cell r="D55" t="str">
            <v>Male</v>
          </cell>
        </row>
        <row r="56">
          <cell r="D56" t="str">
            <v>Male</v>
          </cell>
        </row>
        <row r="57">
          <cell r="D57" t="str">
            <v>Male</v>
          </cell>
        </row>
        <row r="58">
          <cell r="D58" t="str">
            <v>Male</v>
          </cell>
        </row>
        <row r="59">
          <cell r="D59" t="str">
            <v>Male</v>
          </cell>
        </row>
        <row r="60">
          <cell r="D60" t="str">
            <v>Male</v>
          </cell>
        </row>
        <row r="61">
          <cell r="D61" t="str">
            <v>Male</v>
          </cell>
        </row>
        <row r="62">
          <cell r="D62" t="str">
            <v>Male</v>
          </cell>
        </row>
        <row r="63">
          <cell r="D63" t="str">
            <v>Male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D15"/>
  <sheetViews>
    <sheetView workbookViewId="0">
      <selection activeCell="C3" sqref="C3"/>
    </sheetView>
  </sheetViews>
  <sheetFormatPr defaultRowHeight="15"/>
  <cols>
    <col min="1" max="2" width="10.7109375" bestFit="1" customWidth="1"/>
    <col min="3" max="3" width="70.140625" bestFit="1" customWidth="1"/>
    <col min="4" max="4" width="14.28515625" bestFit="1" customWidth="1"/>
  </cols>
  <sheetData>
    <row r="1" spans="1:4" s="47" customFormat="1">
      <c r="A1" s="48" t="s">
        <v>105</v>
      </c>
      <c r="B1" s="48" t="s">
        <v>193</v>
      </c>
      <c r="C1" s="48" t="s">
        <v>194</v>
      </c>
      <c r="D1" s="48" t="s">
        <v>195</v>
      </c>
    </row>
    <row r="2" spans="1:4">
      <c r="A2" s="4" t="s">
        <v>192</v>
      </c>
      <c r="B2" s="13">
        <v>44786</v>
      </c>
      <c r="C2" s="4" t="s">
        <v>272</v>
      </c>
      <c r="D2" s="4" t="s">
        <v>71</v>
      </c>
    </row>
    <row r="3" spans="1:4">
      <c r="A3" s="49"/>
      <c r="B3" s="50"/>
      <c r="C3" s="51"/>
      <c r="D3" s="49"/>
    </row>
    <row r="4" spans="1:4">
      <c r="A4" s="4"/>
      <c r="B4" s="13"/>
      <c r="C4" s="4"/>
      <c r="D4" s="4"/>
    </row>
    <row r="5" spans="1:4">
      <c r="A5" s="4"/>
      <c r="B5" s="13"/>
      <c r="C5" s="4"/>
      <c r="D5" s="4"/>
    </row>
    <row r="6" spans="1:4">
      <c r="A6" s="4"/>
      <c r="B6" s="13"/>
      <c r="C6" s="52"/>
      <c r="D6" s="4"/>
    </row>
    <row r="7" spans="1:4">
      <c r="A7" s="4"/>
      <c r="B7" s="13"/>
      <c r="C7" s="4"/>
      <c r="D7" s="4"/>
    </row>
    <row r="8" spans="1:4">
      <c r="A8" s="4"/>
      <c r="B8" s="13"/>
      <c r="C8" s="4"/>
      <c r="D8" s="4"/>
    </row>
    <row r="9" spans="1:4">
      <c r="A9" s="4"/>
      <c r="B9" s="13"/>
      <c r="C9" s="4"/>
      <c r="D9" s="4"/>
    </row>
    <row r="10" spans="1:4">
      <c r="B10" s="69"/>
    </row>
    <row r="11" spans="1:4">
      <c r="B11" s="69"/>
    </row>
    <row r="12" spans="1:4">
      <c r="B12" s="70"/>
    </row>
    <row r="13" spans="1:4">
      <c r="B13" s="70"/>
    </row>
    <row r="14" spans="1:4">
      <c r="B14" s="70"/>
    </row>
    <row r="15" spans="1:4">
      <c r="B15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autoPageBreaks="0"/>
  </sheetPr>
  <dimension ref="A2:V49"/>
  <sheetViews>
    <sheetView zoomScale="85" zoomScaleNormal="85" workbookViewId="0">
      <selection activeCell="H8" sqref="H8"/>
    </sheetView>
  </sheetViews>
  <sheetFormatPr defaultColWidth="8.85546875" defaultRowHeight="15"/>
  <cols>
    <col min="1" max="1" width="5.5703125" customWidth="1"/>
    <col min="2" max="2" width="7.5703125" customWidth="1"/>
    <col min="3" max="3" width="5.7109375" style="62" customWidth="1"/>
    <col min="4" max="4" width="7.85546875" customWidth="1"/>
    <col min="5" max="5" width="2.28515625" customWidth="1"/>
    <col min="6" max="6" width="18.7109375" customWidth="1"/>
    <col min="7" max="7" width="16" customWidth="1"/>
    <col min="8" max="8" width="18.5703125" bestFit="1" customWidth="1"/>
    <col min="9" max="9" width="2.5703125" customWidth="1"/>
    <col min="10" max="11" width="7.140625" customWidth="1"/>
    <col min="12" max="12" width="6.85546875" customWidth="1"/>
    <col min="13" max="13" width="5.85546875" customWidth="1"/>
    <col min="14" max="14" width="11" customWidth="1"/>
    <col min="15" max="15" width="7" customWidth="1"/>
    <col min="16" max="16" width="9.140625" customWidth="1"/>
    <col min="18" max="18" width="8.85546875" style="5"/>
    <col min="23" max="23" width="9.140625" customWidth="1"/>
    <col min="28" max="28" width="9.140625" customWidth="1"/>
  </cols>
  <sheetData>
    <row r="2" spans="1:22" ht="15.75" thickBot="1">
      <c r="F2" s="71" t="s">
        <v>236</v>
      </c>
      <c r="G2" s="72"/>
      <c r="H2" s="64"/>
      <c r="I2" s="3"/>
    </row>
    <row r="3" spans="1:22" ht="34.5" customHeight="1">
      <c r="A3" s="2" t="s">
        <v>174</v>
      </c>
      <c r="B3" s="2" t="s">
        <v>219</v>
      </c>
      <c r="C3" s="63" t="s">
        <v>171</v>
      </c>
      <c r="D3" s="63" t="s">
        <v>220</v>
      </c>
      <c r="E3" s="2"/>
      <c r="F3" s="6" t="s">
        <v>2</v>
      </c>
      <c r="G3" s="6" t="s">
        <v>235</v>
      </c>
      <c r="H3" s="6" t="s">
        <v>3</v>
      </c>
      <c r="I3" s="2"/>
      <c r="J3" s="63" t="s">
        <v>220</v>
      </c>
      <c r="K3" s="2" t="s">
        <v>17</v>
      </c>
      <c r="L3" s="2" t="s">
        <v>219</v>
      </c>
      <c r="M3" s="2" t="s">
        <v>174</v>
      </c>
      <c r="N3" s="29" t="s">
        <v>5</v>
      </c>
      <c r="O3" s="30"/>
    </row>
    <row r="4" spans="1:22">
      <c r="B4" s="62">
        <f>VLOOKUP(G4,'Team List'!D:I,6,FALSE)</f>
        <v>0</v>
      </c>
      <c r="D4" s="62">
        <f>'Boat Details'!$H$3*B4</f>
        <v>0</v>
      </c>
      <c r="E4" s="44" t="str">
        <f>IF(VLOOKUP(G4,'Team List'!D:L,9,FALSE)=0,"",VLOOKUP(G4,'Team List'!D:L,9,FALSE))</f>
        <v/>
      </c>
      <c r="F4" s="4"/>
      <c r="G4" s="12" t="s">
        <v>10</v>
      </c>
      <c r="H4" s="4"/>
      <c r="N4" s="31" t="s">
        <v>11</v>
      </c>
      <c r="O4" s="57">
        <f>SUM(B5:B14)</f>
        <v>728.69999999999993</v>
      </c>
    </row>
    <row r="5" spans="1:22" s="2" customFormat="1" ht="33" customHeight="1" thickBot="1">
      <c r="A5" t="str">
        <f>VLOOKUP(F5,'Team List'!$D:$J,7,FALSE)</f>
        <v>Left</v>
      </c>
      <c r="B5" s="62">
        <f>VLOOKUP(F5,'Team List'!D:I,6,FALSE)</f>
        <v>77.2</v>
      </c>
      <c r="C5" s="62">
        <f>'Boat Details'!$I$3/2*B5</f>
        <v>30.301000000000002</v>
      </c>
      <c r="D5" s="62">
        <f>(4*'Boat Details'!$F$3+0.3)*B5</f>
        <v>264.024</v>
      </c>
      <c r="E5" t="str">
        <f>IF(VLOOKUP(F5,'Team List'!D:L,9,FALSE)=0,"",VLOOKUP(F5,'Team List'!D:L,9,FALSE))</f>
        <v>F</v>
      </c>
      <c r="F5" s="12" t="s">
        <v>148</v>
      </c>
      <c r="G5" s="11">
        <v>1</v>
      </c>
      <c r="H5" s="12" t="s">
        <v>162</v>
      </c>
      <c r="I5" t="str">
        <f>IF(VLOOKUP(H5,'Team List'!D:L,9,FALSE)=0,"",VLOOKUP(H5,'Team List'!D:L,9,FALSE))</f>
        <v>F</v>
      </c>
      <c r="J5" s="62">
        <f>(4*'Boat Details'!$F$3+0.3)*L5</f>
        <v>202.464</v>
      </c>
      <c r="K5" s="62">
        <f>'Boat Details'!$I$3/2*L5</f>
        <v>23.236000000000001</v>
      </c>
      <c r="L5" s="62">
        <f>VLOOKUP(H5,'Team List'!D:I,6,FALSE)</f>
        <v>59.2</v>
      </c>
      <c r="M5" t="str">
        <f>VLOOKUP(H5,'Team List'!$D:$J,7,FALSE)</f>
        <v>Right</v>
      </c>
      <c r="N5" s="33" t="s">
        <v>12</v>
      </c>
      <c r="O5" s="58">
        <f>SUM(L5:L14)</f>
        <v>174.2</v>
      </c>
      <c r="P5">
        <f>SUM(O4:O5)</f>
        <v>902.89999999999986</v>
      </c>
      <c r="R5" s="5"/>
      <c r="V5"/>
    </row>
    <row r="6" spans="1:22" ht="16.5" thickTop="1" thickBot="1">
      <c r="A6" t="str">
        <f>VLOOKUP(F6,'Team List'!$D:$J,7,FALSE)</f>
        <v>None</v>
      </c>
      <c r="B6" s="62">
        <f>VLOOKUP(F6,'Team List'!D:I,6,FALSE)</f>
        <v>60.4</v>
      </c>
      <c r="C6" s="62">
        <f>'Boat Details'!$J$3/2*B6</f>
        <v>27.18</v>
      </c>
      <c r="D6" s="62">
        <f>(3*'Boat Details'!$F$3+0.3)*B6</f>
        <v>159.45599999999999</v>
      </c>
      <c r="E6" t="str">
        <f>IF(VLOOKUP(F6,'Team List'!D:L,9,FALSE)=0,"",VLOOKUP(F6,'Team List'!D:L,9,FALSE))</f>
        <v>F</v>
      </c>
      <c r="F6" s="12" t="s">
        <v>152</v>
      </c>
      <c r="G6" s="11">
        <v>2</v>
      </c>
      <c r="H6" s="12" t="s">
        <v>10</v>
      </c>
      <c r="I6" t="str">
        <f>IF(VLOOKUP(H6,'Team List'!D:L,9,FALSE)=0,"",VLOOKUP(H6,'Team List'!D:L,9,FALSE))</f>
        <v/>
      </c>
      <c r="J6" s="62">
        <f>(3*'Boat Details'!$F$3+0.3)*L6</f>
        <v>0</v>
      </c>
      <c r="K6" s="62">
        <f>'Boat Details'!$J$3/2*L6</f>
        <v>0</v>
      </c>
      <c r="L6" s="62">
        <f>VLOOKUP(H6,'Team List'!D:I,6,FALSE)</f>
        <v>0</v>
      </c>
      <c r="M6" t="str">
        <f>VLOOKUP(H6,'Team List'!$D:$J,7,FALSE)</f>
        <v>None</v>
      </c>
      <c r="N6" s="35" t="s">
        <v>4</v>
      </c>
      <c r="O6" s="59">
        <f>O4-O5</f>
        <v>554.5</v>
      </c>
    </row>
    <row r="7" spans="1:22">
      <c r="A7" t="str">
        <f>VLOOKUP(F7,'Team List'!$D:$J,7,FALSE)</f>
        <v>None</v>
      </c>
      <c r="B7" s="62">
        <f>VLOOKUP(F7,'Team List'!D:I,6,FALSE)</f>
        <v>100</v>
      </c>
      <c r="C7" s="62">
        <f>'Boat Details'!$K$3/2*B7</f>
        <v>49</v>
      </c>
      <c r="D7" s="62">
        <f>(2*'Boat Details'!$F$3+0.3)*B7</f>
        <v>186</v>
      </c>
      <c r="E7" t="str">
        <f>IF(VLOOKUP(F7,'Team List'!D:L,9,FALSE)=0,"",VLOOKUP(F7,'Team List'!D:L,9,FALSE))</f>
        <v>M</v>
      </c>
      <c r="F7" s="12" t="s">
        <v>255</v>
      </c>
      <c r="G7" s="11">
        <v>3</v>
      </c>
      <c r="H7" s="12" t="s">
        <v>251</v>
      </c>
      <c r="I7" t="str">
        <f>IF(VLOOKUP(H7,'Team List'!D:L,9,FALSE)=0,"",VLOOKUP(H7,'Team List'!D:L,9,FALSE))</f>
        <v>M</v>
      </c>
      <c r="J7" s="62">
        <f>(2*'Boat Details'!$F$3+0.3)*L7</f>
        <v>213.9</v>
      </c>
      <c r="K7" s="62">
        <f>'Boat Details'!$K$3/2*L7</f>
        <v>56.35</v>
      </c>
      <c r="L7" s="62">
        <f>VLOOKUP(H7,'Team List'!D:I,6,FALSE)</f>
        <v>115</v>
      </c>
      <c r="M7" t="str">
        <f>VLOOKUP(H7,'Team List'!$D:$J,7,FALSE)</f>
        <v>Right</v>
      </c>
      <c r="N7" s="29" t="s">
        <v>170</v>
      </c>
      <c r="O7" s="60"/>
    </row>
    <row r="8" spans="1:22">
      <c r="A8" t="str">
        <f>VLOOKUP(F8,'Team List'!$D:$J,7,FALSE)</f>
        <v>Left</v>
      </c>
      <c r="B8" s="62">
        <f>VLOOKUP(F8,'Team List'!D:I,6,FALSE)</f>
        <v>77.2</v>
      </c>
      <c r="C8" s="62">
        <f>'Boat Details'!$L$3/2*B8</f>
        <v>39.564999999999998</v>
      </c>
      <c r="D8" s="62">
        <f>(1*'Boat Details'!$F$3+0.3)*B8</f>
        <v>83.376000000000005</v>
      </c>
      <c r="E8" t="str">
        <f>IF(VLOOKUP(F8,'Team List'!D:L,9,FALSE)=0,"",VLOOKUP(F8,'Team List'!D:L,9,FALSE))</f>
        <v>F</v>
      </c>
      <c r="F8" s="12" t="s">
        <v>148</v>
      </c>
      <c r="G8" s="11">
        <v>4</v>
      </c>
      <c r="H8" s="12" t="s">
        <v>10</v>
      </c>
      <c r="I8" t="str">
        <f>IF(VLOOKUP(H8,'Team List'!D:L,9,FALSE)=0,"",VLOOKUP(H8,'Team List'!D:L,9,FALSE))</f>
        <v/>
      </c>
      <c r="J8" s="62">
        <f>(1*'Boat Details'!$F$3+0.3)*L8</f>
        <v>0</v>
      </c>
      <c r="K8" s="62">
        <f>'Boat Details'!$L$3/2*L8</f>
        <v>0</v>
      </c>
      <c r="L8" s="62">
        <f>VLOOKUP(H8,'Team List'!D:I,6,FALSE)</f>
        <v>0</v>
      </c>
      <c r="M8" t="str">
        <f>VLOOKUP(H8,'Team List'!$D:$J,7,FALSE)</f>
        <v>None</v>
      </c>
      <c r="N8" s="31" t="s">
        <v>171</v>
      </c>
      <c r="O8" s="57">
        <f>SUM(C5:C14)</f>
        <v>336.78625</v>
      </c>
    </row>
    <row r="9" spans="1:22" ht="15.75" thickBot="1">
      <c r="A9" t="str">
        <f>VLOOKUP(F9,'Team List'!$D:$J,7,FALSE)</f>
        <v>None</v>
      </c>
      <c r="B9" s="62">
        <f>VLOOKUP(F9,'Team List'!D:I,6,FALSE)</f>
        <v>60.4</v>
      </c>
      <c r="C9" s="62">
        <f>'Boat Details'!$M$3/2*B9</f>
        <v>31.71</v>
      </c>
      <c r="D9" s="62">
        <f>(0*'Boat Details'!$F$3+0.3)*B9</f>
        <v>18.119999999999997</v>
      </c>
      <c r="E9" t="str">
        <f>IF(VLOOKUP(F9,'Team List'!D:L,9,FALSE)=0,"",VLOOKUP(F9,'Team List'!D:L,9,FALSE))</f>
        <v>F</v>
      </c>
      <c r="F9" s="12" t="s">
        <v>152</v>
      </c>
      <c r="G9" s="11">
        <v>5</v>
      </c>
      <c r="H9" s="12" t="s">
        <v>10</v>
      </c>
      <c r="I9" t="str">
        <f>IF(VLOOKUP(H9,'Team List'!D:L,9,FALSE)=0,"",VLOOKUP(H9,'Team List'!D:L,9,FALSE))</f>
        <v/>
      </c>
      <c r="J9" s="62">
        <f>(0*'Boat Details'!$F$3+0.3)*L9</f>
        <v>0</v>
      </c>
      <c r="K9" s="62">
        <f>'Boat Details'!$M$3/2*L9</f>
        <v>0</v>
      </c>
      <c r="L9" s="62">
        <f>VLOOKUP(H9,'Team List'!D:I,6,FALSE)</f>
        <v>0</v>
      </c>
      <c r="M9" t="str">
        <f>VLOOKUP(H9,'Team List'!$D:$J,7,FALSE)</f>
        <v>None</v>
      </c>
      <c r="N9" s="33" t="s">
        <v>172</v>
      </c>
      <c r="O9" s="58">
        <f>SUM(K5:K14)</f>
        <v>79.585999999999999</v>
      </c>
    </row>
    <row r="10" spans="1:22" ht="16.5" thickTop="1" thickBot="1">
      <c r="A10" t="str">
        <f>VLOOKUP(F10,'Team List'!$D:$J,7,FALSE)</f>
        <v>None</v>
      </c>
      <c r="B10" s="62">
        <f>VLOOKUP(F10,'Team List'!D:I,6,FALSE)</f>
        <v>60.4</v>
      </c>
      <c r="C10" s="62">
        <f>'Boat Details'!$N$3/2*B10</f>
        <v>31.408000000000001</v>
      </c>
      <c r="D10" s="62">
        <f>(0*'Boat Details'!$F$3+0.5)*B10</f>
        <v>30.2</v>
      </c>
      <c r="E10" t="str">
        <f>IF(VLOOKUP(F10,'Team List'!D:L,9,FALSE)=0,"",VLOOKUP(F10,'Team List'!D:L,9,FALSE))</f>
        <v>F</v>
      </c>
      <c r="F10" s="12" t="s">
        <v>152</v>
      </c>
      <c r="G10" s="11">
        <v>6</v>
      </c>
      <c r="H10" s="12" t="s">
        <v>10</v>
      </c>
      <c r="I10" t="str">
        <f>IF(VLOOKUP(H10,'Team List'!D:L,9,FALSE)=0,"",VLOOKUP(H10,'Team List'!D:L,9,FALSE))</f>
        <v/>
      </c>
      <c r="J10" s="62">
        <f>(0*'Boat Details'!$F$3+0.5)*L10</f>
        <v>0</v>
      </c>
      <c r="K10" s="62">
        <f>'Boat Details'!$N$3/2*L10</f>
        <v>0</v>
      </c>
      <c r="L10" s="62">
        <f>VLOOKUP(H10,'Team List'!D:I,6,FALSE)</f>
        <v>0</v>
      </c>
      <c r="M10" t="str">
        <f>VLOOKUP(H10,'Team List'!$D:$J,7,FALSE)</f>
        <v>None</v>
      </c>
      <c r="N10" s="35" t="s">
        <v>4</v>
      </c>
      <c r="O10" s="61">
        <f>O8-O9</f>
        <v>257.20024999999998</v>
      </c>
      <c r="P10" t="s">
        <v>179</v>
      </c>
    </row>
    <row r="11" spans="1:22">
      <c r="A11" t="str">
        <f>VLOOKUP(F11,'Team List'!$D:$J,7,FALSE)</f>
        <v>Right</v>
      </c>
      <c r="B11" s="62">
        <f>VLOOKUP(F11,'Team List'!D:I,6,FALSE)</f>
        <v>88.3</v>
      </c>
      <c r="C11" s="62">
        <f>'Boat Details'!$O$3/2*B11</f>
        <v>44.370749999999994</v>
      </c>
      <c r="D11" s="62">
        <f>(1*'Boat Details'!$F$3+0.5)*B11</f>
        <v>113.024</v>
      </c>
      <c r="E11" t="str">
        <f>IF(VLOOKUP(F11,'Team List'!D:L,9,FALSE)=0,"",VLOOKUP(F11,'Team List'!D:L,9,FALSE))</f>
        <v>F</v>
      </c>
      <c r="F11" s="12" t="s">
        <v>138</v>
      </c>
      <c r="G11" s="11">
        <v>7</v>
      </c>
      <c r="H11" s="12" t="s">
        <v>10</v>
      </c>
      <c r="I11" t="str">
        <f>IF(VLOOKUP(H11,'Team List'!D:L,9,FALSE)=0,"",VLOOKUP(H11,'Team List'!D:L,9,FALSE))</f>
        <v/>
      </c>
      <c r="J11" s="62">
        <f>(1*'Boat Details'!$F$3+0.5)*L11</f>
        <v>0</v>
      </c>
      <c r="K11" s="62">
        <f>'Boat Details'!$O$3/2*L11</f>
        <v>0</v>
      </c>
      <c r="L11" s="62">
        <f>VLOOKUP(H11,'Team List'!D:I,6,FALSE)</f>
        <v>0</v>
      </c>
      <c r="M11" t="str">
        <f>VLOOKUP(H11,'Team List'!$D:$J,7,FALSE)</f>
        <v>None</v>
      </c>
      <c r="N11" s="29" t="s">
        <v>6</v>
      </c>
      <c r="O11" s="60"/>
    </row>
    <row r="12" spans="1:22">
      <c r="A12" t="str">
        <f>VLOOKUP(F12,'Team List'!$D:$J,7,FALSE)</f>
        <v>None</v>
      </c>
      <c r="B12" s="62">
        <f>VLOOKUP(F12,'Team List'!D:I,6,FALSE)</f>
        <v>56.5</v>
      </c>
      <c r="C12" s="62">
        <f>'Boat Details'!$P$3/2*B12</f>
        <v>26.555</v>
      </c>
      <c r="D12" s="62">
        <f>(2*'Boat Details'!$F$3+0.5)*B12</f>
        <v>116.39</v>
      </c>
      <c r="E12" t="str">
        <f>IF(VLOOKUP(F12,'Team List'!D:L,9,FALSE)=0,"",VLOOKUP(F12,'Team List'!D:L,9,FALSE))</f>
        <v>F</v>
      </c>
      <c r="F12" s="12" t="s">
        <v>248</v>
      </c>
      <c r="G12" s="11">
        <v>8</v>
      </c>
      <c r="H12" s="12" t="s">
        <v>10</v>
      </c>
      <c r="I12" t="str">
        <f>IF(VLOOKUP(H12,'Team List'!D:L,9,FALSE)=0,"",VLOOKUP(H12,'Team List'!D:L,9,FALSE))</f>
        <v/>
      </c>
      <c r="J12" s="62">
        <f>(2*'Boat Details'!$F$3+0.5)*L12</f>
        <v>0</v>
      </c>
      <c r="K12" s="62">
        <f>'Boat Details'!$P$3/2*L12</f>
        <v>0</v>
      </c>
      <c r="L12" s="62">
        <f>VLOOKUP(H12,'Team List'!D:I,6,FALSE)</f>
        <v>0</v>
      </c>
      <c r="M12" t="str">
        <f>VLOOKUP(H12,'Team List'!$D:$J,7,FALSE)</f>
        <v>None</v>
      </c>
      <c r="N12" s="31" t="s">
        <v>7</v>
      </c>
      <c r="O12" s="57">
        <f>SUM(D4:D9)+SUM(J5:J9)</f>
        <v>1127.3400000000001</v>
      </c>
    </row>
    <row r="13" spans="1:22" ht="15.75" thickBot="1">
      <c r="A13" t="str">
        <f>VLOOKUP(F13,'Team List'!$D:$J,7,FALSE)</f>
        <v>Right</v>
      </c>
      <c r="B13" s="62">
        <f>VLOOKUP(F13,'Team List'!D:I,6,FALSE)</f>
        <v>60</v>
      </c>
      <c r="C13" s="62">
        <f>'Boat Details'!$Q$3/2*B13</f>
        <v>25.349999999999998</v>
      </c>
      <c r="D13" s="62">
        <f>(3*'Boat Details'!$F$3+0.5)*B13</f>
        <v>170.39999999999998</v>
      </c>
      <c r="E13" t="str">
        <f>IF(VLOOKUP(F13,'Team List'!D:L,9,FALSE)=0,"",VLOOKUP(F13,'Team List'!D:L,9,FALSE))</f>
        <v>F</v>
      </c>
      <c r="F13" s="12" t="s">
        <v>224</v>
      </c>
      <c r="G13" s="11">
        <v>9</v>
      </c>
      <c r="H13" s="12" t="s">
        <v>10</v>
      </c>
      <c r="I13" t="str">
        <f>IF(VLOOKUP(H13,'Team List'!D:L,9,FALSE)=0,"",VLOOKUP(H13,'Team List'!D:L,9,FALSE))</f>
        <v/>
      </c>
      <c r="J13" s="62">
        <f>(3*'Boat Details'!$F$3+0.5)*L13</f>
        <v>0</v>
      </c>
      <c r="K13" s="62">
        <f>'Boat Details'!$Q$3/2*L13</f>
        <v>0</v>
      </c>
      <c r="L13" s="62">
        <f>VLOOKUP(H13,'Team List'!D:I,6,FALSE)</f>
        <v>0</v>
      </c>
      <c r="M13" t="str">
        <f>VLOOKUP(H13,'Team List'!$D:$J,7,FALSE)</f>
        <v>None</v>
      </c>
      <c r="N13" s="33" t="s">
        <v>8</v>
      </c>
      <c r="O13" s="58">
        <f>SUM(D10:D15)+SUM(J10:J14)</f>
        <v>1101.6199999999999</v>
      </c>
    </row>
    <row r="14" spans="1:22" ht="16.5" thickTop="1" thickBot="1">
      <c r="A14" t="str">
        <f>VLOOKUP(F14,'Team List'!$D:$J,7,FALSE)</f>
        <v>Right</v>
      </c>
      <c r="B14" s="62">
        <f>VLOOKUP(F14,'Team List'!D:I,6,FALSE)</f>
        <v>88.3</v>
      </c>
      <c r="C14" s="62">
        <f>'Boat Details'!$R$3/2*B14</f>
        <v>31.346499999999999</v>
      </c>
      <c r="D14" s="62">
        <f>(4*'Boat Details'!$F$3+0.5)*B14</f>
        <v>319.64600000000002</v>
      </c>
      <c r="E14" t="str">
        <f>IF(VLOOKUP(F14,'Team List'!D:L,9,FALSE)=0,"",VLOOKUP(F14,'Team List'!D:L,9,FALSE))</f>
        <v>F</v>
      </c>
      <c r="F14" s="12" t="s">
        <v>138</v>
      </c>
      <c r="G14" s="11">
        <v>10</v>
      </c>
      <c r="H14" s="12" t="s">
        <v>10</v>
      </c>
      <c r="I14" t="str">
        <f>IF(VLOOKUP(H14,'Team List'!D:L,9,FALSE)=0,"",VLOOKUP(H14,'Team List'!D:L,9,FALSE))</f>
        <v/>
      </c>
      <c r="J14" s="62">
        <f>(4*'Boat Details'!$F$3+0.5)*L14</f>
        <v>0</v>
      </c>
      <c r="K14" s="62">
        <f>'Boat Details'!$R$3/2*L14</f>
        <v>0</v>
      </c>
      <c r="L14" s="62">
        <f>VLOOKUP(H14,'Team List'!D:I,6,FALSE)</f>
        <v>0</v>
      </c>
      <c r="M14" t="str">
        <f>VLOOKUP(H14,'Team List'!$D:$J,7,FALSE)</f>
        <v>None</v>
      </c>
      <c r="N14" s="35" t="s">
        <v>4</v>
      </c>
      <c r="O14" s="61">
        <f>O12-O13</f>
        <v>25.720000000000255</v>
      </c>
      <c r="P14" t="s">
        <v>180</v>
      </c>
    </row>
    <row r="15" spans="1:22">
      <c r="B15" s="62">
        <f>VLOOKUP(G15,'Team List'!D:I,6,FALSE)</f>
        <v>83.8</v>
      </c>
      <c r="D15" s="62">
        <f>'Boat Details'!$G$3*B15</f>
        <v>351.96</v>
      </c>
      <c r="E15" s="44" t="str">
        <f>IF(VLOOKUP(G15,'Team List'!D:L,9,FALSE)=0,"",VLOOKUP(G15,'Team List'!D:L,9,FALSE))</f>
        <v>M</v>
      </c>
      <c r="F15" s="4"/>
      <c r="G15" s="12" t="s">
        <v>145</v>
      </c>
      <c r="H15" s="4"/>
      <c r="N15" t="str">
        <f>"Female Paddlers: "&amp;COUNTIF(E5:E14,"F")+COUNTIF(I5:I14,"F")</f>
        <v>Female Paddlers: 10</v>
      </c>
      <c r="U15" t="s">
        <v>234</v>
      </c>
    </row>
    <row r="16" spans="1:22">
      <c r="F16" t="s">
        <v>188</v>
      </c>
      <c r="H16" s="43"/>
      <c r="N16" t="str">
        <f>"Male Paddlers: "&amp;COUNTIF(E5:E14,"M")+COUNTIF(I5:I14,"M")</f>
        <v>Male Paddlers: 2</v>
      </c>
    </row>
    <row r="18" spans="1:22" ht="15.75" thickBot="1">
      <c r="F18" s="71" t="s">
        <v>268</v>
      </c>
      <c r="G18" s="72"/>
      <c r="H18" s="64"/>
      <c r="I18" s="3"/>
    </row>
    <row r="19" spans="1:22" ht="34.5" customHeight="1">
      <c r="A19" s="2" t="s">
        <v>174</v>
      </c>
      <c r="B19" s="2" t="s">
        <v>219</v>
      </c>
      <c r="C19" s="63" t="s">
        <v>171</v>
      </c>
      <c r="D19" s="63" t="s">
        <v>220</v>
      </c>
      <c r="E19" s="2"/>
      <c r="F19" s="6" t="s">
        <v>2</v>
      </c>
      <c r="G19" s="6" t="s">
        <v>269</v>
      </c>
      <c r="H19" s="6" t="s">
        <v>3</v>
      </c>
      <c r="I19" s="2"/>
      <c r="J19" s="63" t="s">
        <v>220</v>
      </c>
      <c r="K19" s="2" t="s">
        <v>17</v>
      </c>
      <c r="L19" s="2" t="s">
        <v>219</v>
      </c>
      <c r="M19" s="2" t="s">
        <v>174</v>
      </c>
      <c r="N19" s="29" t="s">
        <v>5</v>
      </c>
      <c r="O19" s="30"/>
    </row>
    <row r="20" spans="1:22">
      <c r="B20" s="62">
        <f>VLOOKUP(G20,'Team List'!D:I,6,FALSE)</f>
        <v>0</v>
      </c>
      <c r="D20" s="62">
        <f>'Boat Details'!$H$3*B20</f>
        <v>0</v>
      </c>
      <c r="E20" s="44" t="str">
        <f>IF(VLOOKUP(G20,'Team List'!D:L,9,FALSE)=0,"",VLOOKUP(G20,'Team List'!D:L,9,FALSE))</f>
        <v/>
      </c>
      <c r="F20" s="4"/>
      <c r="G20" s="12" t="s">
        <v>10</v>
      </c>
      <c r="H20" s="4"/>
      <c r="N20" s="31" t="s">
        <v>11</v>
      </c>
      <c r="O20" s="57">
        <f>SUM(B21:B30)</f>
        <v>0</v>
      </c>
    </row>
    <row r="21" spans="1:22" s="2" customFormat="1" ht="33" customHeight="1" thickBot="1">
      <c r="A21" t="str">
        <f>VLOOKUP(F21,'Team List'!$D:$J,7,FALSE)</f>
        <v>None</v>
      </c>
      <c r="B21" s="62">
        <f>VLOOKUP(F21,'Team List'!D:I,6,FALSE)</f>
        <v>0</v>
      </c>
      <c r="C21" s="62">
        <f>'Boat Details'!$I$3/2*B21</f>
        <v>0</v>
      </c>
      <c r="D21" s="62">
        <f>(4*'Boat Details'!$F$3+0.3)*B21</f>
        <v>0</v>
      </c>
      <c r="E21" t="str">
        <f>IF(VLOOKUP(F21,'Team List'!D:L,9,FALSE)=0,"",VLOOKUP(F21,'Team List'!D:L,9,FALSE))</f>
        <v/>
      </c>
      <c r="F21" s="12" t="s">
        <v>10</v>
      </c>
      <c r="G21" s="11">
        <v>1</v>
      </c>
      <c r="H21" s="12" t="s">
        <v>10</v>
      </c>
      <c r="I21" t="str">
        <f>IF(VLOOKUP(H21,'Team List'!D:L,9,FALSE)=0,"",VLOOKUP(H21,'Team List'!D:L,9,FALSE))</f>
        <v/>
      </c>
      <c r="J21" s="62">
        <f>(4*'Boat Details'!$F$3+0.3)*L21</f>
        <v>0</v>
      </c>
      <c r="K21" s="62">
        <f>'Boat Details'!$I$3/2*L21</f>
        <v>0</v>
      </c>
      <c r="L21" s="62">
        <f>VLOOKUP(H21,'Team List'!D:I,6,FALSE)</f>
        <v>0</v>
      </c>
      <c r="M21" t="str">
        <f>VLOOKUP(H21,'Team List'!$D:$J,7,FALSE)</f>
        <v>None</v>
      </c>
      <c r="N21" s="33" t="s">
        <v>12</v>
      </c>
      <c r="O21" s="58">
        <f>SUM(L21:L30)</f>
        <v>0</v>
      </c>
      <c r="P21">
        <f>SUM(O20:O21)</f>
        <v>0</v>
      </c>
      <c r="R21" s="5"/>
      <c r="V21"/>
    </row>
    <row r="22" spans="1:22" ht="16.5" thickTop="1" thickBot="1">
      <c r="A22" t="str">
        <f>VLOOKUP(F22,'Team List'!$D:$J,7,FALSE)</f>
        <v>None</v>
      </c>
      <c r="B22" s="62">
        <f>VLOOKUP(F22,'Team List'!D:I,6,FALSE)</f>
        <v>0</v>
      </c>
      <c r="C22" s="62">
        <f>'Boat Details'!$J$3/2*B22</f>
        <v>0</v>
      </c>
      <c r="D22" s="62">
        <f>(3*'Boat Details'!$F$3+0.3)*B22</f>
        <v>0</v>
      </c>
      <c r="E22" t="str">
        <f>IF(VLOOKUP(F22,'Team List'!D:L,9,FALSE)=0,"",VLOOKUP(F22,'Team List'!D:L,9,FALSE))</f>
        <v/>
      </c>
      <c r="F22" s="12" t="s">
        <v>10</v>
      </c>
      <c r="G22" s="11">
        <v>2</v>
      </c>
      <c r="H22" s="12" t="s">
        <v>10</v>
      </c>
      <c r="I22" t="str">
        <f>IF(VLOOKUP(H22,'Team List'!D:L,9,FALSE)=0,"",VLOOKUP(H22,'Team List'!D:L,9,FALSE))</f>
        <v/>
      </c>
      <c r="J22" s="62">
        <f>(3*'Boat Details'!$F$3+0.3)*L22</f>
        <v>0</v>
      </c>
      <c r="K22" s="62">
        <f>'Boat Details'!$J$3/2*L22</f>
        <v>0</v>
      </c>
      <c r="L22" s="62">
        <f>VLOOKUP(H22,'Team List'!D:I,6,FALSE)</f>
        <v>0</v>
      </c>
      <c r="M22" t="str">
        <f>VLOOKUP(H22,'Team List'!$D:$J,7,FALSE)</f>
        <v>None</v>
      </c>
      <c r="N22" s="35" t="s">
        <v>4</v>
      </c>
      <c r="O22" s="59">
        <f>O20-O21</f>
        <v>0</v>
      </c>
    </row>
    <row r="23" spans="1:22">
      <c r="A23" t="str">
        <f>VLOOKUP(F23,'Team List'!$D:$J,7,FALSE)</f>
        <v>None</v>
      </c>
      <c r="B23" s="62">
        <f>VLOOKUP(F23,'Team List'!D:I,6,FALSE)</f>
        <v>0</v>
      </c>
      <c r="C23" s="62">
        <f>'Boat Details'!$K$3/2*B23</f>
        <v>0</v>
      </c>
      <c r="D23" s="62">
        <f>(2*'Boat Details'!$F$3+0.3)*B23</f>
        <v>0</v>
      </c>
      <c r="E23" t="str">
        <f>IF(VLOOKUP(F23,'Team List'!D:L,9,FALSE)=0,"",VLOOKUP(F23,'Team List'!D:L,9,FALSE))</f>
        <v/>
      </c>
      <c r="F23" s="12" t="s">
        <v>10</v>
      </c>
      <c r="G23" s="11">
        <v>3</v>
      </c>
      <c r="H23" s="12" t="s">
        <v>10</v>
      </c>
      <c r="I23" t="str">
        <f>IF(VLOOKUP(H23,'Team List'!D:L,9,FALSE)=0,"",VLOOKUP(H23,'Team List'!D:L,9,FALSE))</f>
        <v/>
      </c>
      <c r="J23" s="62">
        <f>(2*'Boat Details'!$F$3+0.3)*L23</f>
        <v>0</v>
      </c>
      <c r="K23" s="62">
        <f>'Boat Details'!$K$3/2*L23</f>
        <v>0</v>
      </c>
      <c r="L23" s="62">
        <f>VLOOKUP(H23,'Team List'!D:I,6,FALSE)</f>
        <v>0</v>
      </c>
      <c r="M23" t="str">
        <f>VLOOKUP(H23,'Team List'!$D:$J,7,FALSE)</f>
        <v>None</v>
      </c>
      <c r="N23" s="29" t="s">
        <v>170</v>
      </c>
      <c r="O23" s="60"/>
    </row>
    <row r="24" spans="1:22">
      <c r="A24" t="str">
        <f>VLOOKUP(F24,'Team List'!$D:$J,7,FALSE)</f>
        <v>None</v>
      </c>
      <c r="B24" s="62">
        <f>VLOOKUP(F24,'Team List'!D:I,6,FALSE)</f>
        <v>0</v>
      </c>
      <c r="C24" s="62">
        <f>'Boat Details'!$L$3/2*B24</f>
        <v>0</v>
      </c>
      <c r="D24" s="62">
        <f>(1*'Boat Details'!$F$3+0.3)*B24</f>
        <v>0</v>
      </c>
      <c r="E24" t="str">
        <f>IF(VLOOKUP(F24,'Team List'!D:L,9,FALSE)=0,"",VLOOKUP(F24,'Team List'!D:L,9,FALSE))</f>
        <v/>
      </c>
      <c r="F24" s="12" t="s">
        <v>10</v>
      </c>
      <c r="G24" s="11">
        <v>4</v>
      </c>
      <c r="H24" s="12" t="s">
        <v>10</v>
      </c>
      <c r="I24" t="str">
        <f>IF(VLOOKUP(H24,'Team List'!D:L,9,FALSE)=0,"",VLOOKUP(H24,'Team List'!D:L,9,FALSE))</f>
        <v/>
      </c>
      <c r="J24" s="62">
        <f>(1*'Boat Details'!$F$3+0.3)*L24</f>
        <v>0</v>
      </c>
      <c r="K24" s="62">
        <f>'Boat Details'!$L$3/2*L24</f>
        <v>0</v>
      </c>
      <c r="L24" s="62">
        <f>VLOOKUP(H24,'Team List'!D:I,6,FALSE)</f>
        <v>0</v>
      </c>
      <c r="M24" t="str">
        <f>VLOOKUP(H24,'Team List'!$D:$J,7,FALSE)</f>
        <v>None</v>
      </c>
      <c r="N24" s="31" t="s">
        <v>171</v>
      </c>
      <c r="O24" s="57">
        <f>SUM(C21:C30)</f>
        <v>0</v>
      </c>
    </row>
    <row r="25" spans="1:22" ht="15.75" thickBot="1">
      <c r="A25" t="str">
        <f>VLOOKUP(F25,'Team List'!$D:$J,7,FALSE)</f>
        <v>None</v>
      </c>
      <c r="B25" s="62">
        <f>VLOOKUP(F25,'Team List'!D:I,6,FALSE)</f>
        <v>0</v>
      </c>
      <c r="C25" s="62">
        <f>'Boat Details'!$M$3/2*B25</f>
        <v>0</v>
      </c>
      <c r="D25" s="62">
        <f>(0*'Boat Details'!$F$3+0.3)*B25</f>
        <v>0</v>
      </c>
      <c r="E25" t="str">
        <f>IF(VLOOKUP(F25,'Team List'!D:L,9,FALSE)=0,"",VLOOKUP(F25,'Team List'!D:L,9,FALSE))</f>
        <v/>
      </c>
      <c r="F25" s="12" t="s">
        <v>10</v>
      </c>
      <c r="G25" s="11">
        <v>5</v>
      </c>
      <c r="H25" s="12" t="s">
        <v>10</v>
      </c>
      <c r="I25" t="str">
        <f>IF(VLOOKUP(H25,'Team List'!D:L,9,FALSE)=0,"",VLOOKUP(H25,'Team List'!D:L,9,FALSE))</f>
        <v/>
      </c>
      <c r="J25" s="62">
        <f>(0*'Boat Details'!$F$3+0.3)*L25</f>
        <v>0</v>
      </c>
      <c r="K25" s="62">
        <f>'Boat Details'!$M$3/2*L25</f>
        <v>0</v>
      </c>
      <c r="L25" s="62">
        <f>VLOOKUP(H25,'Team List'!D:I,6,FALSE)</f>
        <v>0</v>
      </c>
      <c r="M25" t="str">
        <f>VLOOKUP(H25,'Team List'!$D:$J,7,FALSE)</f>
        <v>None</v>
      </c>
      <c r="N25" s="33" t="s">
        <v>172</v>
      </c>
      <c r="O25" s="58">
        <f>SUM(K21:K30)</f>
        <v>0</v>
      </c>
    </row>
    <row r="26" spans="1:22" ht="16.5" thickTop="1" thickBot="1">
      <c r="A26" t="str">
        <f>VLOOKUP(F26,'Team List'!$D:$J,7,FALSE)</f>
        <v>None</v>
      </c>
      <c r="B26" s="62">
        <f>VLOOKUP(F26,'Team List'!D:I,6,FALSE)</f>
        <v>0</v>
      </c>
      <c r="C26" s="62">
        <f>'Boat Details'!$N$3/2*B26</f>
        <v>0</v>
      </c>
      <c r="D26" s="62">
        <f>(0*'Boat Details'!$F$3+0.5)*B26</f>
        <v>0</v>
      </c>
      <c r="E26" t="str">
        <f>IF(VLOOKUP(F26,'Team List'!D:L,9,FALSE)=0,"",VLOOKUP(F26,'Team List'!D:L,9,FALSE))</f>
        <v/>
      </c>
      <c r="F26" s="12" t="s">
        <v>10</v>
      </c>
      <c r="G26" s="11">
        <v>6</v>
      </c>
      <c r="H26" s="12" t="s">
        <v>10</v>
      </c>
      <c r="I26" t="str">
        <f>IF(VLOOKUP(H26,'Team List'!D:L,9,FALSE)=0,"",VLOOKUP(H26,'Team List'!D:L,9,FALSE))</f>
        <v/>
      </c>
      <c r="J26" s="62">
        <f>(0*'Boat Details'!$F$3+0.5)*L26</f>
        <v>0</v>
      </c>
      <c r="K26" s="62">
        <f>'Boat Details'!$N$3/2*L26</f>
        <v>0</v>
      </c>
      <c r="L26" s="62">
        <f>VLOOKUP(H26,'Team List'!D:I,6,FALSE)</f>
        <v>0</v>
      </c>
      <c r="M26" t="str">
        <f>VLOOKUP(H26,'Team List'!$D:$J,7,FALSE)</f>
        <v>None</v>
      </c>
      <c r="N26" s="35" t="s">
        <v>4</v>
      </c>
      <c r="O26" s="61">
        <f>O24-O25</f>
        <v>0</v>
      </c>
      <c r="P26" t="s">
        <v>179</v>
      </c>
    </row>
    <row r="27" spans="1:22">
      <c r="A27" t="str">
        <f>VLOOKUP(F27,'Team List'!$D:$J,7,FALSE)</f>
        <v>None</v>
      </c>
      <c r="B27" s="62">
        <f>VLOOKUP(F27,'Team List'!D:I,6,FALSE)</f>
        <v>0</v>
      </c>
      <c r="C27" s="62">
        <f>'Boat Details'!$O$3/2*B27</f>
        <v>0</v>
      </c>
      <c r="D27" s="62">
        <f>(1*'Boat Details'!$F$3+0.5)*B27</f>
        <v>0</v>
      </c>
      <c r="E27" t="str">
        <f>IF(VLOOKUP(F27,'Team List'!D:L,9,FALSE)=0,"",VLOOKUP(F27,'Team List'!D:L,9,FALSE))</f>
        <v/>
      </c>
      <c r="F27" s="12" t="s">
        <v>10</v>
      </c>
      <c r="G27" s="11">
        <v>7</v>
      </c>
      <c r="H27" s="12" t="s">
        <v>10</v>
      </c>
      <c r="I27" t="str">
        <f>IF(VLOOKUP(H27,'Team List'!D:L,9,FALSE)=0,"",VLOOKUP(H27,'Team List'!D:L,9,FALSE))</f>
        <v/>
      </c>
      <c r="J27" s="62">
        <f>(1*'Boat Details'!$F$3+0.5)*L27</f>
        <v>0</v>
      </c>
      <c r="K27" s="62">
        <f>'Boat Details'!$O$3/2*L27</f>
        <v>0</v>
      </c>
      <c r="L27" s="62">
        <f>VLOOKUP(H27,'Team List'!D:I,6,FALSE)</f>
        <v>0</v>
      </c>
      <c r="M27" t="str">
        <f>VLOOKUP(H27,'Team List'!$D:$J,7,FALSE)</f>
        <v>None</v>
      </c>
      <c r="N27" s="29" t="s">
        <v>6</v>
      </c>
      <c r="O27" s="60"/>
    </row>
    <row r="28" spans="1:22">
      <c r="A28" t="str">
        <f>VLOOKUP(F28,'Team List'!$D:$J,7,FALSE)</f>
        <v>None</v>
      </c>
      <c r="B28" s="62">
        <f>VLOOKUP(F28,'Team List'!D:I,6,FALSE)</f>
        <v>0</v>
      </c>
      <c r="C28" s="62">
        <f>'Boat Details'!$P$3/2*B28</f>
        <v>0</v>
      </c>
      <c r="D28" s="62">
        <f>(2*'Boat Details'!$F$3+0.5)*B28</f>
        <v>0</v>
      </c>
      <c r="E28" t="str">
        <f>IF(VLOOKUP(F28,'Team List'!D:L,9,FALSE)=0,"",VLOOKUP(F28,'Team List'!D:L,9,FALSE))</f>
        <v/>
      </c>
      <c r="F28" s="12" t="s">
        <v>10</v>
      </c>
      <c r="G28" s="11">
        <v>8</v>
      </c>
      <c r="H28" s="12" t="s">
        <v>10</v>
      </c>
      <c r="I28" t="str">
        <f>IF(VLOOKUP(H28,'Team List'!D:L,9,FALSE)=0,"",VLOOKUP(H28,'Team List'!D:L,9,FALSE))</f>
        <v/>
      </c>
      <c r="J28" s="62">
        <f>(2*'Boat Details'!$F$3+0.5)*L28</f>
        <v>0</v>
      </c>
      <c r="K28" s="62">
        <f>'Boat Details'!$P$3/2*L28</f>
        <v>0</v>
      </c>
      <c r="L28" s="62">
        <f>VLOOKUP(H28,'Team List'!D:I,6,FALSE)</f>
        <v>0</v>
      </c>
      <c r="M28" t="str">
        <f>VLOOKUP(H28,'Team List'!$D:$J,7,FALSE)</f>
        <v>None</v>
      </c>
      <c r="N28" s="31" t="s">
        <v>7</v>
      </c>
      <c r="O28" s="57">
        <f>SUM(D20:D25)+SUM(J21:J25)</f>
        <v>0</v>
      </c>
    </row>
    <row r="29" spans="1:22" ht="15.75" thickBot="1">
      <c r="A29" t="str">
        <f>VLOOKUP(F29,'Team List'!$D:$J,7,FALSE)</f>
        <v>None</v>
      </c>
      <c r="B29" s="62">
        <f>VLOOKUP(F29,'Team List'!D:I,6,FALSE)</f>
        <v>0</v>
      </c>
      <c r="C29" s="62">
        <f>'Boat Details'!$Q$3/2*B29</f>
        <v>0</v>
      </c>
      <c r="D29" s="62">
        <f>(3*'Boat Details'!$F$3+0.5)*B29</f>
        <v>0</v>
      </c>
      <c r="E29" t="str">
        <f>IF(VLOOKUP(F29,'Team List'!D:L,9,FALSE)=0,"",VLOOKUP(F29,'Team List'!D:L,9,FALSE))</f>
        <v/>
      </c>
      <c r="F29" s="12" t="s">
        <v>10</v>
      </c>
      <c r="G29" s="11">
        <v>9</v>
      </c>
      <c r="H29" s="12" t="s">
        <v>10</v>
      </c>
      <c r="I29" t="str">
        <f>IF(VLOOKUP(H29,'Team List'!D:L,9,FALSE)=0,"",VLOOKUP(H29,'Team List'!D:L,9,FALSE))</f>
        <v/>
      </c>
      <c r="J29" s="62">
        <f>(3*'Boat Details'!$F$3+0.5)*L29</f>
        <v>0</v>
      </c>
      <c r="K29" s="62">
        <f>'Boat Details'!$Q$3/2*L29</f>
        <v>0</v>
      </c>
      <c r="L29" s="62">
        <f>VLOOKUP(H29,'Team List'!D:I,6,FALSE)</f>
        <v>0</v>
      </c>
      <c r="M29" t="str">
        <f>VLOOKUP(H29,'Team List'!$D:$J,7,FALSE)</f>
        <v>None</v>
      </c>
      <c r="N29" s="33" t="s">
        <v>8</v>
      </c>
      <c r="O29" s="58">
        <f>SUM(D26:D31)+SUM(J26:J30)</f>
        <v>0</v>
      </c>
    </row>
    <row r="30" spans="1:22" ht="16.5" thickTop="1" thickBot="1">
      <c r="A30" t="str">
        <f>VLOOKUP(F30,'Team List'!$D:$J,7,FALSE)</f>
        <v>None</v>
      </c>
      <c r="B30" s="62">
        <f>VLOOKUP(F30,'Team List'!D:I,6,FALSE)</f>
        <v>0</v>
      </c>
      <c r="C30" s="62">
        <f>'Boat Details'!$R$3/2*B30</f>
        <v>0</v>
      </c>
      <c r="D30" s="62">
        <f>(4*'Boat Details'!$F$3+0.5)*B30</f>
        <v>0</v>
      </c>
      <c r="E30" t="str">
        <f>IF(VLOOKUP(F30,'Team List'!D:L,9,FALSE)=0,"",VLOOKUP(F30,'Team List'!D:L,9,FALSE))</f>
        <v/>
      </c>
      <c r="F30" s="12" t="s">
        <v>10</v>
      </c>
      <c r="G30" s="11">
        <v>10</v>
      </c>
      <c r="H30" s="12" t="s">
        <v>10</v>
      </c>
      <c r="I30" t="str">
        <f>IF(VLOOKUP(H30,'Team List'!D:L,9,FALSE)=0,"",VLOOKUP(H30,'Team List'!D:L,9,FALSE))</f>
        <v/>
      </c>
      <c r="J30" s="62">
        <f>(4*'Boat Details'!$F$3+0.5)*L30</f>
        <v>0</v>
      </c>
      <c r="K30" s="62">
        <f>'Boat Details'!$R$3/2*L30</f>
        <v>0</v>
      </c>
      <c r="L30" s="62">
        <f>VLOOKUP(H30,'Team List'!D:I,6,FALSE)</f>
        <v>0</v>
      </c>
      <c r="M30" t="str">
        <f>VLOOKUP(H30,'Team List'!$D:$J,7,FALSE)</f>
        <v>None</v>
      </c>
      <c r="N30" s="35" t="s">
        <v>4</v>
      </c>
      <c r="O30" s="61">
        <f>O28-O29</f>
        <v>0</v>
      </c>
      <c r="P30" t="s">
        <v>180</v>
      </c>
    </row>
    <row r="31" spans="1:22">
      <c r="B31" s="62">
        <f>VLOOKUP(G31,'Team List'!D:I,6,FALSE)</f>
        <v>0</v>
      </c>
      <c r="D31" s="62">
        <f>'Boat Details'!$G$3*B31</f>
        <v>0</v>
      </c>
      <c r="E31" s="44" t="str">
        <f>IF(VLOOKUP(G31,'Team List'!D:L,9,FALSE)=0,"",VLOOKUP(G31,'Team List'!D:L,9,FALSE))</f>
        <v/>
      </c>
      <c r="F31" s="4"/>
      <c r="G31" s="12" t="s">
        <v>10</v>
      </c>
      <c r="H31" s="4"/>
      <c r="N31" t="str">
        <f>"Female Paddlers: "&amp;COUNTIF(E21:E30,"F")+COUNTIF(I21:I30,"F")</f>
        <v>Female Paddlers: 0</v>
      </c>
    </row>
    <row r="32" spans="1:22">
      <c r="F32" t="s">
        <v>188</v>
      </c>
      <c r="H32" s="43"/>
      <c r="N32" t="str">
        <f>"Male Paddlers: "&amp;COUNTIF(E21:E30,"M")+COUNTIF(I21:I30,"M")</f>
        <v>Male Paddlers: 0</v>
      </c>
    </row>
    <row r="33" spans="1:22">
      <c r="H33" s="5"/>
    </row>
    <row r="34" spans="1:22" ht="15.75" thickBot="1">
      <c r="F34" s="71" t="s">
        <v>270</v>
      </c>
      <c r="G34" s="72"/>
      <c r="H34" s="64"/>
      <c r="I34" s="3"/>
    </row>
    <row r="35" spans="1:22" ht="34.5" customHeight="1">
      <c r="A35" s="2" t="s">
        <v>174</v>
      </c>
      <c r="B35" s="2" t="s">
        <v>219</v>
      </c>
      <c r="C35" s="63" t="s">
        <v>171</v>
      </c>
      <c r="D35" s="63" t="s">
        <v>220</v>
      </c>
      <c r="E35" s="2"/>
      <c r="F35" s="6" t="s">
        <v>2</v>
      </c>
      <c r="G35" s="65" t="s">
        <v>271</v>
      </c>
      <c r="H35" s="6" t="s">
        <v>3</v>
      </c>
      <c r="I35" s="2"/>
      <c r="J35" s="63" t="s">
        <v>220</v>
      </c>
      <c r="K35" s="2" t="s">
        <v>17</v>
      </c>
      <c r="L35" s="2" t="s">
        <v>219</v>
      </c>
      <c r="M35" s="2" t="s">
        <v>174</v>
      </c>
      <c r="N35" s="29" t="s">
        <v>5</v>
      </c>
      <c r="O35" s="30"/>
    </row>
    <row r="36" spans="1:22">
      <c r="B36" s="62">
        <f>VLOOKUP(G36,'Team List'!D:I,6,FALSE)</f>
        <v>0</v>
      </c>
      <c r="D36" s="62">
        <f>'Boat Details'!$H$3*B36</f>
        <v>0</v>
      </c>
      <c r="E36" s="44" t="str">
        <f>IF(VLOOKUP(G36,'Team List'!D:L,9,FALSE)=0,"",VLOOKUP(G36,'Team List'!D:L,9,FALSE))</f>
        <v/>
      </c>
      <c r="F36" s="4"/>
      <c r="G36" s="12" t="s">
        <v>10</v>
      </c>
      <c r="H36" s="4"/>
      <c r="N36" s="31" t="s">
        <v>11</v>
      </c>
      <c r="O36" s="57">
        <f>SUM(B37:B46)</f>
        <v>0</v>
      </c>
    </row>
    <row r="37" spans="1:22" s="2" customFormat="1" ht="33" customHeight="1" thickBot="1">
      <c r="A37" t="str">
        <f>VLOOKUP(F37,'Team List'!$D:$J,7,FALSE)</f>
        <v>None</v>
      </c>
      <c r="B37" s="62">
        <f>VLOOKUP(F37,'Team List'!D:I,6,FALSE)</f>
        <v>0</v>
      </c>
      <c r="C37" s="62">
        <f>'Boat Details'!$I$3/2*B37</f>
        <v>0</v>
      </c>
      <c r="D37" s="62">
        <f>(4*'Boat Details'!$F$3+0.3)*B37</f>
        <v>0</v>
      </c>
      <c r="E37" t="str">
        <f>IF(VLOOKUP(F37,'Team List'!D:L,9,FALSE)=0,"",VLOOKUP(F37,'Team List'!D:L,9,FALSE))</f>
        <v/>
      </c>
      <c r="F37" s="12" t="s">
        <v>10</v>
      </c>
      <c r="G37" s="11">
        <v>1</v>
      </c>
      <c r="H37" s="12" t="s">
        <v>10</v>
      </c>
      <c r="I37" t="str">
        <f>IF(VLOOKUP(H37,'Team List'!D:L,9,FALSE)=0,"",VLOOKUP(H37,'Team List'!D:L,9,FALSE))</f>
        <v/>
      </c>
      <c r="J37" s="62">
        <f>(4*'Boat Details'!$F$3+0.3)*L37</f>
        <v>0</v>
      </c>
      <c r="K37" s="62">
        <f>'Boat Details'!$I$3/2*L37</f>
        <v>0</v>
      </c>
      <c r="L37" s="62">
        <f>VLOOKUP(H37,'Team List'!D:I,6,FALSE)</f>
        <v>0</v>
      </c>
      <c r="M37" t="str">
        <f>VLOOKUP(H37,'Team List'!$D:$J,7,FALSE)</f>
        <v>None</v>
      </c>
      <c r="N37" s="33" t="s">
        <v>12</v>
      </c>
      <c r="O37" s="58">
        <f>SUM(L37:L46)</f>
        <v>0</v>
      </c>
      <c r="P37">
        <f>SUM(O36:O37)</f>
        <v>0</v>
      </c>
      <c r="R37" s="5"/>
      <c r="V37"/>
    </row>
    <row r="38" spans="1:22" ht="16.5" thickTop="1" thickBot="1">
      <c r="A38" t="str">
        <f>VLOOKUP(F38,'Team List'!$D:$J,7,FALSE)</f>
        <v>None</v>
      </c>
      <c r="B38" s="62">
        <f>VLOOKUP(F38,'Team List'!D:I,6,FALSE)</f>
        <v>0</v>
      </c>
      <c r="C38" s="62">
        <f>'Boat Details'!$J$3/2*B38</f>
        <v>0</v>
      </c>
      <c r="D38" s="62">
        <f>(3*'Boat Details'!$F$3+0.3)*B38</f>
        <v>0</v>
      </c>
      <c r="E38" t="str">
        <f>IF(VLOOKUP(F38,'Team List'!D:L,9,FALSE)=0,"",VLOOKUP(F38,'Team List'!D:L,9,FALSE))</f>
        <v/>
      </c>
      <c r="F38" s="12" t="s">
        <v>10</v>
      </c>
      <c r="G38" s="11">
        <v>2</v>
      </c>
      <c r="H38" s="12" t="s">
        <v>10</v>
      </c>
      <c r="I38" t="str">
        <f>IF(VLOOKUP(H38,'Team List'!D:L,9,FALSE)=0,"",VLOOKUP(H38,'Team List'!D:L,9,FALSE))</f>
        <v/>
      </c>
      <c r="J38" s="62">
        <f>(3*'Boat Details'!$F$3+0.3)*L38</f>
        <v>0</v>
      </c>
      <c r="K38" s="62">
        <f>'Boat Details'!$J$3/2*L38</f>
        <v>0</v>
      </c>
      <c r="L38" s="62">
        <f>VLOOKUP(H38,'Team List'!D:I,6,FALSE)</f>
        <v>0</v>
      </c>
      <c r="M38" t="str">
        <f>VLOOKUP(H38,'Team List'!$D:$J,7,FALSE)</f>
        <v>None</v>
      </c>
      <c r="N38" s="35" t="s">
        <v>4</v>
      </c>
      <c r="O38" s="59">
        <f>O36-O37</f>
        <v>0</v>
      </c>
    </row>
    <row r="39" spans="1:22">
      <c r="A39" t="str">
        <f>VLOOKUP(F39,'Team List'!$D:$J,7,FALSE)</f>
        <v>None</v>
      </c>
      <c r="B39" s="62">
        <f>VLOOKUP(F39,'Team List'!D:I,6,FALSE)</f>
        <v>0</v>
      </c>
      <c r="C39" s="62">
        <f>'Boat Details'!$K$3/2*B39</f>
        <v>0</v>
      </c>
      <c r="D39" s="62">
        <f>(2*'Boat Details'!$F$3+0.3)*B39</f>
        <v>0</v>
      </c>
      <c r="E39" t="str">
        <f>IF(VLOOKUP(F39,'Team List'!D:L,9,FALSE)=0,"",VLOOKUP(F39,'Team List'!D:L,9,FALSE))</f>
        <v/>
      </c>
      <c r="F39" s="12" t="s">
        <v>10</v>
      </c>
      <c r="G39" s="11">
        <v>3</v>
      </c>
      <c r="H39" s="12" t="s">
        <v>10</v>
      </c>
      <c r="I39" t="str">
        <f>IF(VLOOKUP(H39,'Team List'!D:L,9,FALSE)=0,"",VLOOKUP(H39,'Team List'!D:L,9,FALSE))</f>
        <v/>
      </c>
      <c r="J39" s="62">
        <f>(2*'Boat Details'!$F$3+0.3)*L39</f>
        <v>0</v>
      </c>
      <c r="K39" s="62">
        <f>'Boat Details'!$K$3/2*L39</f>
        <v>0</v>
      </c>
      <c r="L39" s="62">
        <f>VLOOKUP(H39,'Team List'!D:I,6,FALSE)</f>
        <v>0</v>
      </c>
      <c r="M39" t="str">
        <f>VLOOKUP(H39,'Team List'!$D:$J,7,FALSE)</f>
        <v>None</v>
      </c>
      <c r="N39" s="29" t="s">
        <v>170</v>
      </c>
      <c r="O39" s="60"/>
    </row>
    <row r="40" spans="1:22">
      <c r="A40" t="str">
        <f>VLOOKUP(F40,'Team List'!$D:$J,7,FALSE)</f>
        <v>None</v>
      </c>
      <c r="B40" s="62">
        <f>VLOOKUP(F40,'Team List'!D:I,6,FALSE)</f>
        <v>0</v>
      </c>
      <c r="C40" s="62">
        <f>'Boat Details'!$L$3/2*B40</f>
        <v>0</v>
      </c>
      <c r="D40" s="62">
        <f>(1*'Boat Details'!$F$3+0.3)*B40</f>
        <v>0</v>
      </c>
      <c r="E40" t="str">
        <f>IF(VLOOKUP(F40,'Team List'!D:L,9,FALSE)=0,"",VLOOKUP(F40,'Team List'!D:L,9,FALSE))</f>
        <v/>
      </c>
      <c r="F40" s="12" t="s">
        <v>10</v>
      </c>
      <c r="G40" s="11">
        <v>4</v>
      </c>
      <c r="H40" s="12" t="s">
        <v>10</v>
      </c>
      <c r="I40" t="str">
        <f>IF(VLOOKUP(H40,'Team List'!D:L,9,FALSE)=0,"",VLOOKUP(H40,'Team List'!D:L,9,FALSE))</f>
        <v/>
      </c>
      <c r="J40" s="62">
        <f>(1*'Boat Details'!$F$3+0.3)*L40</f>
        <v>0</v>
      </c>
      <c r="K40" s="62">
        <f>'Boat Details'!$L$3/2*L40</f>
        <v>0</v>
      </c>
      <c r="L40" s="62">
        <f>VLOOKUP(H40,'Team List'!D:I,6,FALSE)</f>
        <v>0</v>
      </c>
      <c r="M40" t="str">
        <f>VLOOKUP(H40,'Team List'!$D:$J,7,FALSE)</f>
        <v>None</v>
      </c>
      <c r="N40" s="31" t="s">
        <v>171</v>
      </c>
      <c r="O40" s="57">
        <f>SUM(C37:C46)</f>
        <v>0</v>
      </c>
    </row>
    <row r="41" spans="1:22" ht="15.75" thickBot="1">
      <c r="A41" t="str">
        <f>VLOOKUP(F41,'Team List'!$D:$J,7,FALSE)</f>
        <v>None</v>
      </c>
      <c r="B41" s="62">
        <f>VLOOKUP(F41,'Team List'!D:I,6,FALSE)</f>
        <v>0</v>
      </c>
      <c r="C41" s="62">
        <f>'Boat Details'!$M$3/2*B41</f>
        <v>0</v>
      </c>
      <c r="D41" s="62">
        <f>(0*'Boat Details'!$F$3+0.3)*B41</f>
        <v>0</v>
      </c>
      <c r="E41" t="str">
        <f>IF(VLOOKUP(F41,'Team List'!D:L,9,FALSE)=0,"",VLOOKUP(F41,'Team List'!D:L,9,FALSE))</f>
        <v/>
      </c>
      <c r="F41" s="12" t="s">
        <v>10</v>
      </c>
      <c r="G41" s="11">
        <v>5</v>
      </c>
      <c r="H41" s="12" t="s">
        <v>10</v>
      </c>
      <c r="I41" t="str">
        <f>IF(VLOOKUP(H41,'Team List'!D:L,9,FALSE)=0,"",VLOOKUP(H41,'Team List'!D:L,9,FALSE))</f>
        <v/>
      </c>
      <c r="J41" s="62">
        <f>(0*'Boat Details'!$F$3+0.3)*L41</f>
        <v>0</v>
      </c>
      <c r="K41" s="62">
        <f>'Boat Details'!$M$3/2*L41</f>
        <v>0</v>
      </c>
      <c r="L41" s="62">
        <f>VLOOKUP(H41,'Team List'!D:I,6,FALSE)</f>
        <v>0</v>
      </c>
      <c r="M41" t="str">
        <f>VLOOKUP(H41,'Team List'!$D:$J,7,FALSE)</f>
        <v>None</v>
      </c>
      <c r="N41" s="33" t="s">
        <v>172</v>
      </c>
      <c r="O41" s="58">
        <f>SUM(K37:K46)</f>
        <v>0</v>
      </c>
    </row>
    <row r="42" spans="1:22" ht="16.5" thickTop="1" thickBot="1">
      <c r="A42" t="str">
        <f>VLOOKUP(F42,'Team List'!$D:$J,7,FALSE)</f>
        <v>None</v>
      </c>
      <c r="B42" s="62">
        <f>VLOOKUP(F42,'Team List'!D:I,6,FALSE)</f>
        <v>0</v>
      </c>
      <c r="C42" s="62">
        <f>'Boat Details'!$N$3/2*B42</f>
        <v>0</v>
      </c>
      <c r="D42" s="62">
        <f>(0*'Boat Details'!$F$3+0.5)*B42</f>
        <v>0</v>
      </c>
      <c r="E42" t="str">
        <f>IF(VLOOKUP(F42,'Team List'!D:L,9,FALSE)=0,"",VLOOKUP(F42,'Team List'!D:L,9,FALSE))</f>
        <v/>
      </c>
      <c r="F42" s="12" t="s">
        <v>10</v>
      </c>
      <c r="G42" s="11">
        <v>6</v>
      </c>
      <c r="H42" s="12" t="s">
        <v>10</v>
      </c>
      <c r="I42" t="str">
        <f>IF(VLOOKUP(H42,'Team List'!D:L,9,FALSE)=0,"",VLOOKUP(H42,'Team List'!D:L,9,FALSE))</f>
        <v/>
      </c>
      <c r="J42" s="62">
        <f>(0*'Boat Details'!$F$3+0.5)*L42</f>
        <v>0</v>
      </c>
      <c r="K42" s="62">
        <f>'Boat Details'!$N$3/2*L42</f>
        <v>0</v>
      </c>
      <c r="L42" s="62">
        <f>VLOOKUP(H42,'Team List'!D:I,6,FALSE)</f>
        <v>0</v>
      </c>
      <c r="M42" t="str">
        <f>VLOOKUP(H42,'Team List'!$D:$J,7,FALSE)</f>
        <v>None</v>
      </c>
      <c r="N42" s="35" t="s">
        <v>4</v>
      </c>
      <c r="O42" s="61">
        <f>O40-O41</f>
        <v>0</v>
      </c>
      <c r="P42" t="s">
        <v>179</v>
      </c>
    </row>
    <row r="43" spans="1:22">
      <c r="A43" t="str">
        <f>VLOOKUP(F43,'Team List'!$D:$J,7,FALSE)</f>
        <v>None</v>
      </c>
      <c r="B43" s="62">
        <f>VLOOKUP(F43,'Team List'!D:I,6,FALSE)</f>
        <v>0</v>
      </c>
      <c r="C43" s="62">
        <f>'Boat Details'!$O$3/2*B43</f>
        <v>0</v>
      </c>
      <c r="D43" s="62">
        <f>(1*'Boat Details'!$F$3+0.5)*B43</f>
        <v>0</v>
      </c>
      <c r="E43" t="str">
        <f>IF(VLOOKUP(F43,'Team List'!D:L,9,FALSE)=0,"",VLOOKUP(F43,'Team List'!D:L,9,FALSE))</f>
        <v/>
      </c>
      <c r="F43" s="12" t="s">
        <v>10</v>
      </c>
      <c r="G43" s="11">
        <v>7</v>
      </c>
      <c r="H43" s="12" t="s">
        <v>10</v>
      </c>
      <c r="I43" t="str">
        <f>IF(VLOOKUP(H43,'Team List'!D:L,9,FALSE)=0,"",VLOOKUP(H43,'Team List'!D:L,9,FALSE))</f>
        <v/>
      </c>
      <c r="J43" s="62">
        <f>(1*'Boat Details'!$F$3+0.5)*L43</f>
        <v>0</v>
      </c>
      <c r="K43" s="62">
        <f>'Boat Details'!$O$3/2*L43</f>
        <v>0</v>
      </c>
      <c r="L43" s="62">
        <f>VLOOKUP(H43,'Team List'!D:I,6,FALSE)</f>
        <v>0</v>
      </c>
      <c r="M43" t="str">
        <f>VLOOKUP(H43,'Team List'!$D:$J,7,FALSE)</f>
        <v>None</v>
      </c>
      <c r="N43" s="29" t="s">
        <v>6</v>
      </c>
      <c r="O43" s="60"/>
    </row>
    <row r="44" spans="1:22">
      <c r="A44" t="str">
        <f>VLOOKUP(F44,'Team List'!$D:$J,7,FALSE)</f>
        <v>None</v>
      </c>
      <c r="B44" s="62">
        <f>VLOOKUP(F44,'Team List'!D:I,6,FALSE)</f>
        <v>0</v>
      </c>
      <c r="C44" s="62">
        <f>'Boat Details'!$P$3/2*B44</f>
        <v>0</v>
      </c>
      <c r="D44" s="62">
        <f>(2*'Boat Details'!$F$3+0.5)*B44</f>
        <v>0</v>
      </c>
      <c r="E44" t="str">
        <f>IF(VLOOKUP(F44,'Team List'!D:L,9,FALSE)=0,"",VLOOKUP(F44,'Team List'!D:L,9,FALSE))</f>
        <v/>
      </c>
      <c r="F44" s="12" t="s">
        <v>10</v>
      </c>
      <c r="G44" s="11">
        <v>8</v>
      </c>
      <c r="H44" s="12" t="s">
        <v>10</v>
      </c>
      <c r="I44" t="str">
        <f>IF(VLOOKUP(H44,'Team List'!D:L,9,FALSE)=0,"",VLOOKUP(H44,'Team List'!D:L,9,FALSE))</f>
        <v/>
      </c>
      <c r="J44" s="62">
        <f>(2*'Boat Details'!$F$3+0.5)*L44</f>
        <v>0</v>
      </c>
      <c r="K44" s="62">
        <f>'Boat Details'!$P$3/2*L44</f>
        <v>0</v>
      </c>
      <c r="L44" s="62">
        <f>VLOOKUP(H44,'Team List'!D:I,6,FALSE)</f>
        <v>0</v>
      </c>
      <c r="M44" t="str">
        <f>VLOOKUP(H44,'Team List'!$D:$J,7,FALSE)</f>
        <v>None</v>
      </c>
      <c r="N44" s="31" t="s">
        <v>7</v>
      </c>
      <c r="O44" s="57">
        <f>SUM(D36:D41)+SUM(J37:J41)</f>
        <v>0</v>
      </c>
    </row>
    <row r="45" spans="1:22" ht="15.75" thickBot="1">
      <c r="A45" t="str">
        <f>VLOOKUP(F45,'Team List'!$D:$J,7,FALSE)</f>
        <v>None</v>
      </c>
      <c r="B45" s="62">
        <f>VLOOKUP(F45,'Team List'!D:I,6,FALSE)</f>
        <v>0</v>
      </c>
      <c r="C45" s="62">
        <f>'Boat Details'!$Q$3/2*B45</f>
        <v>0</v>
      </c>
      <c r="D45" s="62">
        <f>(3*'Boat Details'!$F$3+0.5)*B45</f>
        <v>0</v>
      </c>
      <c r="E45" t="str">
        <f>IF(VLOOKUP(F45,'Team List'!D:L,9,FALSE)=0,"",VLOOKUP(F45,'Team List'!D:L,9,FALSE))</f>
        <v/>
      </c>
      <c r="F45" s="12" t="s">
        <v>10</v>
      </c>
      <c r="G45" s="11">
        <v>9</v>
      </c>
      <c r="H45" s="12" t="s">
        <v>10</v>
      </c>
      <c r="I45" t="str">
        <f>IF(VLOOKUP(H45,'Team List'!D:L,9,FALSE)=0,"",VLOOKUP(H45,'Team List'!D:L,9,FALSE))</f>
        <v/>
      </c>
      <c r="J45" s="62">
        <f>(3*'Boat Details'!$F$3+0.5)*L45</f>
        <v>0</v>
      </c>
      <c r="K45" s="62">
        <f>'Boat Details'!$Q$3/2*L45</f>
        <v>0</v>
      </c>
      <c r="L45" s="62">
        <f>VLOOKUP(H45,'Team List'!D:I,6,FALSE)</f>
        <v>0</v>
      </c>
      <c r="M45" t="str">
        <f>VLOOKUP(H45,'Team List'!$D:$J,7,FALSE)</f>
        <v>None</v>
      </c>
      <c r="N45" s="33" t="s">
        <v>8</v>
      </c>
      <c r="O45" s="58">
        <f>SUM(D42:D47)+SUM(J42:J46)</f>
        <v>0</v>
      </c>
    </row>
    <row r="46" spans="1:22" ht="16.5" thickTop="1" thickBot="1">
      <c r="A46" t="str">
        <f>VLOOKUP(F46,'Team List'!$D:$J,7,FALSE)</f>
        <v>None</v>
      </c>
      <c r="B46" s="62">
        <f>VLOOKUP(F46,'Team List'!D:I,6,FALSE)</f>
        <v>0</v>
      </c>
      <c r="C46" s="62">
        <f>'Boat Details'!$R$3/2*B46</f>
        <v>0</v>
      </c>
      <c r="D46" s="62">
        <f>(4*'Boat Details'!$F$3+0.5)*B46</f>
        <v>0</v>
      </c>
      <c r="E46" t="str">
        <f>IF(VLOOKUP(F46,'Team List'!D:L,9,FALSE)=0,"",VLOOKUP(F46,'Team List'!D:L,9,FALSE))</f>
        <v/>
      </c>
      <c r="F46" s="12" t="s">
        <v>10</v>
      </c>
      <c r="G46" s="11">
        <v>10</v>
      </c>
      <c r="H46" s="12" t="s">
        <v>10</v>
      </c>
      <c r="I46" t="str">
        <f>IF(VLOOKUP(H46,'Team List'!D:L,9,FALSE)=0,"",VLOOKUP(H46,'Team List'!D:L,9,FALSE))</f>
        <v/>
      </c>
      <c r="J46" s="62">
        <f>(4*'Boat Details'!$F$3+0.5)*L46</f>
        <v>0</v>
      </c>
      <c r="K46" s="62">
        <f>'Boat Details'!$R$3/2*L46</f>
        <v>0</v>
      </c>
      <c r="L46" s="62">
        <f>VLOOKUP(H46,'Team List'!D:I,6,FALSE)</f>
        <v>0</v>
      </c>
      <c r="M46" t="str">
        <f>VLOOKUP(H46,'Team List'!$D:$J,7,FALSE)</f>
        <v>None</v>
      </c>
      <c r="N46" s="35" t="s">
        <v>4</v>
      </c>
      <c r="O46" s="61">
        <f>O44-O45</f>
        <v>0</v>
      </c>
      <c r="P46" t="s">
        <v>180</v>
      </c>
    </row>
    <row r="47" spans="1:22">
      <c r="B47" s="62">
        <f>VLOOKUP(G47,'Team List'!D:I,6,FALSE)</f>
        <v>0</v>
      </c>
      <c r="D47" s="62">
        <f>'Boat Details'!$G$3*B47</f>
        <v>0</v>
      </c>
      <c r="E47" s="44" t="str">
        <f>IF(VLOOKUP(G47,'Team List'!D:L,9,FALSE)=0,"",VLOOKUP(G47,'Team List'!D:L,9,FALSE))</f>
        <v/>
      </c>
      <c r="F47" s="4"/>
      <c r="G47" s="12" t="s">
        <v>10</v>
      </c>
      <c r="H47" s="4"/>
      <c r="N47" t="str">
        <f>"Female Paddlers: "&amp;COUNTIF(E37:E46,"F")+COUNTIF(I37:I46,"F")</f>
        <v>Female Paddlers: 0</v>
      </c>
    </row>
    <row r="48" spans="1:22">
      <c r="F48" t="s">
        <v>188</v>
      </c>
      <c r="G48" s="12"/>
      <c r="H48" s="12"/>
      <c r="N48" t="str">
        <f>"Male Paddlers: "&amp;COUNTIF(E37:E46,"M")+COUNTIF(I37:I46,"M")</f>
        <v>Male Paddlers: 0</v>
      </c>
    </row>
    <row r="49" spans="8:8">
      <c r="H49" s="5"/>
    </row>
  </sheetData>
  <mergeCells count="3">
    <mergeCell ref="F18:G18"/>
    <mergeCell ref="F2:G2"/>
    <mergeCell ref="F34:G34"/>
  </mergeCells>
  <conditionalFormatting sqref="E49 I49 E1 I1">
    <cfRule type="cellIs" dxfId="341" priority="1861" operator="equal">
      <formula>"F"</formula>
    </cfRule>
    <cfRule type="cellIs" dxfId="340" priority="1862" operator="equal">
      <formula>"M"</formula>
    </cfRule>
  </conditionalFormatting>
  <conditionalFormatting sqref="H49">
    <cfRule type="cellIs" dxfId="339" priority="976" operator="equal">
      <formula>"Empty"</formula>
    </cfRule>
  </conditionalFormatting>
  <conditionalFormatting sqref="E2 E4:E16 E33">
    <cfRule type="cellIs" dxfId="338" priority="948" operator="equal">
      <formula>"F"</formula>
    </cfRule>
    <cfRule type="cellIs" dxfId="337" priority="949" operator="equal">
      <formula>"M"</formula>
    </cfRule>
  </conditionalFormatting>
  <conditionalFormatting sqref="H33 H4 H15:H16">
    <cfRule type="cellIs" dxfId="336" priority="947" operator="equal">
      <formula>"Empty"</formula>
    </cfRule>
  </conditionalFormatting>
  <conditionalFormatting sqref="H33 H4 H15:H16">
    <cfRule type="cellIs" dxfId="335" priority="946" operator="equal">
      <formula>"Empty"</formula>
    </cfRule>
  </conditionalFormatting>
  <conditionalFormatting sqref="I2 I4:I16 I33">
    <cfRule type="cellIs" dxfId="334" priority="944" operator="equal">
      <formula>"F"</formula>
    </cfRule>
    <cfRule type="cellIs" dxfId="333" priority="945" operator="equal">
      <formula>"M"</formula>
    </cfRule>
  </conditionalFormatting>
  <conditionalFormatting sqref="A5:A14">
    <cfRule type="containsText" dxfId="332" priority="943" operator="containsText" text="Right">
      <formula>NOT(ISERROR(SEARCH("Right",A5)))</formula>
    </cfRule>
  </conditionalFormatting>
  <conditionalFormatting sqref="M5:M14">
    <cfRule type="containsText" dxfId="331" priority="942" operator="containsText" text="Left">
      <formula>NOT(ISERROR(SEARCH("Left",M5)))</formula>
    </cfRule>
  </conditionalFormatting>
  <conditionalFormatting sqref="I4:I16 I33">
    <cfRule type="cellIs" dxfId="330" priority="940" operator="equal">
      <formula>"F"</formula>
    </cfRule>
    <cfRule type="cellIs" dxfId="329" priority="941" operator="equal">
      <formula>"M"</formula>
    </cfRule>
  </conditionalFormatting>
  <conditionalFormatting sqref="O10">
    <cfRule type="cellIs" dxfId="328" priority="938" operator="greaterThan">
      <formula>10</formula>
    </cfRule>
    <cfRule type="cellIs" dxfId="327" priority="939" operator="lessThan">
      <formula>-10</formula>
    </cfRule>
  </conditionalFormatting>
  <conditionalFormatting sqref="O14">
    <cfRule type="cellIs" dxfId="326" priority="936" operator="greaterThan">
      <formula>-20</formula>
    </cfRule>
    <cfRule type="cellIs" dxfId="325" priority="937" operator="lessThan">
      <formula>-120</formula>
    </cfRule>
  </conditionalFormatting>
  <conditionalFormatting sqref="H16 H33">
    <cfRule type="cellIs" dxfId="324" priority="935" operator="equal">
      <formula>"Empty"</formula>
    </cfRule>
  </conditionalFormatting>
  <conditionalFormatting sqref="H16 H33">
    <cfRule type="cellIs" dxfId="323" priority="934" operator="equal">
      <formula>"Empty"</formula>
    </cfRule>
  </conditionalFormatting>
  <conditionalFormatting sqref="G4">
    <cfRule type="cellIs" dxfId="322" priority="932" operator="equal">
      <formula>"Empty"</formula>
    </cfRule>
  </conditionalFormatting>
  <conditionalFormatting sqref="G4">
    <cfRule type="cellIs" dxfId="321" priority="933" operator="equal">
      <formula>"Empty"</formula>
    </cfRule>
  </conditionalFormatting>
  <conditionalFormatting sqref="E3">
    <cfRule type="cellIs" dxfId="320" priority="878" operator="equal">
      <formula>"F"</formula>
    </cfRule>
    <cfRule type="cellIs" dxfId="319" priority="879" operator="equal">
      <formula>"M"</formula>
    </cfRule>
  </conditionalFormatting>
  <conditionalFormatting sqref="H3">
    <cfRule type="cellIs" dxfId="318" priority="877" operator="equal">
      <formula>"Empty"</formula>
    </cfRule>
  </conditionalFormatting>
  <conditionalFormatting sqref="H3">
    <cfRule type="cellIs" dxfId="317" priority="876" operator="equal">
      <formula>"Empty"</formula>
    </cfRule>
  </conditionalFormatting>
  <conditionalFormatting sqref="I3">
    <cfRule type="cellIs" dxfId="316" priority="874" operator="equal">
      <formula>"F"</formula>
    </cfRule>
    <cfRule type="cellIs" dxfId="315" priority="875" operator="equal">
      <formula>"M"</formula>
    </cfRule>
  </conditionalFormatting>
  <conditionalFormatting sqref="E34 E36:E48">
    <cfRule type="cellIs" dxfId="314" priority="189" operator="equal">
      <formula>"F"</formula>
    </cfRule>
    <cfRule type="cellIs" dxfId="313" priority="190" operator="equal">
      <formula>"M"</formula>
    </cfRule>
  </conditionalFormatting>
  <conditionalFormatting sqref="I34 I36:I48">
    <cfRule type="cellIs" dxfId="312" priority="185" operator="equal">
      <formula>"F"</formula>
    </cfRule>
    <cfRule type="cellIs" dxfId="311" priority="186" operator="equal">
      <formula>"M"</formula>
    </cfRule>
  </conditionalFormatting>
  <conditionalFormatting sqref="A37:A46">
    <cfRule type="containsText" dxfId="310" priority="184" operator="containsText" text="Right">
      <formula>NOT(ISERROR(SEARCH("Right",A37)))</formula>
    </cfRule>
  </conditionalFormatting>
  <conditionalFormatting sqref="M37:M46">
    <cfRule type="containsText" dxfId="309" priority="183" operator="containsText" text="Left">
      <formula>NOT(ISERROR(SEARCH("Left",M37)))</formula>
    </cfRule>
  </conditionalFormatting>
  <conditionalFormatting sqref="I36:I48">
    <cfRule type="cellIs" dxfId="308" priority="181" operator="equal">
      <formula>"F"</formula>
    </cfRule>
    <cfRule type="cellIs" dxfId="307" priority="182" operator="equal">
      <formula>"M"</formula>
    </cfRule>
  </conditionalFormatting>
  <conditionalFormatting sqref="O42">
    <cfRule type="cellIs" dxfId="306" priority="179" operator="greaterThan">
      <formula>10</formula>
    </cfRule>
    <cfRule type="cellIs" dxfId="305" priority="180" operator="lessThan">
      <formula>-10</formula>
    </cfRule>
  </conditionalFormatting>
  <conditionalFormatting sqref="O46">
    <cfRule type="cellIs" dxfId="304" priority="177" operator="greaterThan">
      <formula>-20</formula>
    </cfRule>
    <cfRule type="cellIs" dxfId="303" priority="178" operator="lessThan">
      <formula>-120</formula>
    </cfRule>
  </conditionalFormatting>
  <conditionalFormatting sqref="E35">
    <cfRule type="cellIs" dxfId="302" priority="163" operator="equal">
      <formula>"F"</formula>
    </cfRule>
    <cfRule type="cellIs" dxfId="301" priority="164" operator="equal">
      <formula>"M"</formula>
    </cfRule>
  </conditionalFormatting>
  <conditionalFormatting sqref="H35">
    <cfRule type="cellIs" dxfId="300" priority="162" operator="equal">
      <formula>"Empty"</formula>
    </cfRule>
  </conditionalFormatting>
  <conditionalFormatting sqref="H35">
    <cfRule type="cellIs" dxfId="299" priority="161" operator="equal">
      <formula>"Empty"</formula>
    </cfRule>
  </conditionalFormatting>
  <conditionalFormatting sqref="I35">
    <cfRule type="cellIs" dxfId="298" priority="159" operator="equal">
      <formula>"F"</formula>
    </cfRule>
    <cfRule type="cellIs" dxfId="297" priority="160" operator="equal">
      <formula>"M"</formula>
    </cfRule>
  </conditionalFormatting>
  <conditionalFormatting sqref="G48:H48">
    <cfRule type="cellIs" dxfId="296" priority="150" operator="equal">
      <formula>"Empty"</formula>
    </cfRule>
  </conditionalFormatting>
  <conditionalFormatting sqref="G48:H48">
    <cfRule type="cellIs" dxfId="295" priority="149" operator="equal">
      <formula>"Empty"</formula>
    </cfRule>
  </conditionalFormatting>
  <conditionalFormatting sqref="G15">
    <cfRule type="cellIs" dxfId="294" priority="112" operator="equal">
      <formula>"Empty"</formula>
    </cfRule>
  </conditionalFormatting>
  <conditionalFormatting sqref="G15">
    <cfRule type="cellIs" dxfId="293" priority="111" operator="equal">
      <formula>"Empty"</formula>
    </cfRule>
  </conditionalFormatting>
  <conditionalFormatting sqref="H32">
    <cfRule type="cellIs" dxfId="292" priority="93" operator="equal">
      <formula>"Empty"</formula>
    </cfRule>
  </conditionalFormatting>
  <conditionalFormatting sqref="H32">
    <cfRule type="cellIs" dxfId="291" priority="94" operator="equal">
      <formula>"Empty"</formula>
    </cfRule>
  </conditionalFormatting>
  <conditionalFormatting sqref="E17 I17">
    <cfRule type="cellIs" dxfId="290" priority="97" operator="equal">
      <formula>"F"</formula>
    </cfRule>
    <cfRule type="cellIs" dxfId="289" priority="98" operator="equal">
      <formula>"M"</formula>
    </cfRule>
  </conditionalFormatting>
  <conditionalFormatting sqref="E18 E20:E32">
    <cfRule type="cellIs" dxfId="288" priority="95" operator="equal">
      <formula>"F"</formula>
    </cfRule>
    <cfRule type="cellIs" dxfId="287" priority="96" operator="equal">
      <formula>"M"</formula>
    </cfRule>
  </conditionalFormatting>
  <conditionalFormatting sqref="I18 I20:I32">
    <cfRule type="cellIs" dxfId="286" priority="91" operator="equal">
      <formula>"F"</formula>
    </cfRule>
    <cfRule type="cellIs" dxfId="285" priority="92" operator="equal">
      <formula>"M"</formula>
    </cfRule>
  </conditionalFormatting>
  <conditionalFormatting sqref="A21:A30">
    <cfRule type="containsText" dxfId="284" priority="90" operator="containsText" text="Right">
      <formula>NOT(ISERROR(SEARCH("Right",A21)))</formula>
    </cfRule>
  </conditionalFormatting>
  <conditionalFormatting sqref="M21:M30">
    <cfRule type="containsText" dxfId="283" priority="89" operator="containsText" text="Left">
      <formula>NOT(ISERROR(SEARCH("Left",M21)))</formula>
    </cfRule>
  </conditionalFormatting>
  <conditionalFormatting sqref="I20:I32">
    <cfRule type="cellIs" dxfId="282" priority="87" operator="equal">
      <formula>"F"</formula>
    </cfRule>
    <cfRule type="cellIs" dxfId="281" priority="88" operator="equal">
      <formula>"M"</formula>
    </cfRule>
  </conditionalFormatting>
  <conditionalFormatting sqref="O26">
    <cfRule type="cellIs" dxfId="280" priority="85" operator="greaterThan">
      <formula>10</formula>
    </cfRule>
    <cfRule type="cellIs" dxfId="279" priority="86" operator="lessThan">
      <formula>-10</formula>
    </cfRule>
  </conditionalFormatting>
  <conditionalFormatting sqref="O30">
    <cfRule type="cellIs" dxfId="278" priority="83" operator="greaterThan">
      <formula>-20</formula>
    </cfRule>
    <cfRule type="cellIs" dxfId="277" priority="84" operator="lessThan">
      <formula>-120</formula>
    </cfRule>
  </conditionalFormatting>
  <conditionalFormatting sqref="H32">
    <cfRule type="cellIs" dxfId="276" priority="82" operator="equal">
      <formula>"Empty"</formula>
    </cfRule>
  </conditionalFormatting>
  <conditionalFormatting sqref="H32">
    <cfRule type="cellIs" dxfId="275" priority="81" operator="equal">
      <formula>"Empty"</formula>
    </cfRule>
  </conditionalFormatting>
  <conditionalFormatting sqref="F5:F14">
    <cfRule type="cellIs" dxfId="274" priority="29" operator="equal">
      <formula>"Empty"</formula>
    </cfRule>
  </conditionalFormatting>
  <conditionalFormatting sqref="F5:F14">
    <cfRule type="cellIs" dxfId="273" priority="30" operator="equal">
      <formula>"Empty"</formula>
    </cfRule>
  </conditionalFormatting>
  <conditionalFormatting sqref="E19">
    <cfRule type="cellIs" dxfId="272" priority="71" operator="equal">
      <formula>"F"</formula>
    </cfRule>
    <cfRule type="cellIs" dxfId="271" priority="72" operator="equal">
      <formula>"M"</formula>
    </cfRule>
  </conditionalFormatting>
  <conditionalFormatting sqref="H19">
    <cfRule type="cellIs" dxfId="270" priority="70" operator="equal">
      <formula>"Empty"</formula>
    </cfRule>
  </conditionalFormatting>
  <conditionalFormatting sqref="H19">
    <cfRule type="cellIs" dxfId="269" priority="69" operator="equal">
      <formula>"Empty"</formula>
    </cfRule>
  </conditionalFormatting>
  <conditionalFormatting sqref="I19">
    <cfRule type="cellIs" dxfId="268" priority="67" operator="equal">
      <formula>"F"</formula>
    </cfRule>
    <cfRule type="cellIs" dxfId="267" priority="68" operator="equal">
      <formula>"M"</formula>
    </cfRule>
  </conditionalFormatting>
  <conditionalFormatting sqref="G20">
    <cfRule type="cellIs" dxfId="266" priority="21" operator="equal">
      <formula>"Empty"</formula>
    </cfRule>
  </conditionalFormatting>
  <conditionalFormatting sqref="G20">
    <cfRule type="cellIs" dxfId="265" priority="22" operator="equal">
      <formula>"Empty"</formula>
    </cfRule>
  </conditionalFormatting>
  <conditionalFormatting sqref="H20 H31">
    <cfRule type="cellIs" dxfId="264" priority="24" operator="equal">
      <formula>"Empty"</formula>
    </cfRule>
  </conditionalFormatting>
  <conditionalFormatting sqref="H20 H31">
    <cfRule type="cellIs" dxfId="263" priority="23" operator="equal">
      <formula>"Empty"</formula>
    </cfRule>
  </conditionalFormatting>
  <conditionalFormatting sqref="H5:H14">
    <cfRule type="cellIs" dxfId="262" priority="28" operator="equal">
      <formula>"Empty"</formula>
    </cfRule>
  </conditionalFormatting>
  <conditionalFormatting sqref="H5:H14">
    <cfRule type="cellIs" dxfId="261" priority="27" operator="equal">
      <formula>"Empty"</formula>
    </cfRule>
  </conditionalFormatting>
  <conditionalFormatting sqref="H5:H14">
    <cfRule type="cellIs" dxfId="260" priority="26" operator="equal">
      <formula>"Empty"</formula>
    </cfRule>
  </conditionalFormatting>
  <conditionalFormatting sqref="H5:H14">
    <cfRule type="cellIs" dxfId="259" priority="25" operator="equal">
      <formula>"Empty"</formula>
    </cfRule>
  </conditionalFormatting>
  <conditionalFormatting sqref="G31">
    <cfRule type="cellIs" dxfId="258" priority="20" operator="equal">
      <formula>"Empty"</formula>
    </cfRule>
  </conditionalFormatting>
  <conditionalFormatting sqref="G31">
    <cfRule type="cellIs" dxfId="257" priority="19" operator="equal">
      <formula>"Empty"</formula>
    </cfRule>
  </conditionalFormatting>
  <conditionalFormatting sqref="F21:F30">
    <cfRule type="cellIs" dxfId="256" priority="18" operator="equal">
      <formula>"Empty"</formula>
    </cfRule>
  </conditionalFormatting>
  <conditionalFormatting sqref="F21:F30">
    <cfRule type="cellIs" dxfId="255" priority="17" operator="equal">
      <formula>"Empty"</formula>
    </cfRule>
  </conditionalFormatting>
  <conditionalFormatting sqref="H21:H30">
    <cfRule type="cellIs" dxfId="254" priority="15" operator="equal">
      <formula>"Empty"</formula>
    </cfRule>
  </conditionalFormatting>
  <conditionalFormatting sqref="H21:H30">
    <cfRule type="cellIs" dxfId="253" priority="16" operator="equal">
      <formula>"Empty"</formula>
    </cfRule>
  </conditionalFormatting>
  <conditionalFormatting sqref="H21:H30">
    <cfRule type="cellIs" dxfId="252" priority="14" operator="equal">
      <formula>"Empty"</formula>
    </cfRule>
  </conditionalFormatting>
  <conditionalFormatting sqref="H21:H30">
    <cfRule type="cellIs" dxfId="251" priority="13" operator="equal">
      <formula>"Empty"</formula>
    </cfRule>
  </conditionalFormatting>
  <conditionalFormatting sqref="H36 H47">
    <cfRule type="cellIs" dxfId="250" priority="12" operator="equal">
      <formula>"Empty"</formula>
    </cfRule>
  </conditionalFormatting>
  <conditionalFormatting sqref="H36 H47">
    <cfRule type="cellIs" dxfId="249" priority="11" operator="equal">
      <formula>"Empty"</formula>
    </cfRule>
  </conditionalFormatting>
  <conditionalFormatting sqref="G36">
    <cfRule type="cellIs" dxfId="248" priority="9" operator="equal">
      <formula>"Empty"</formula>
    </cfRule>
  </conditionalFormatting>
  <conditionalFormatting sqref="G36">
    <cfRule type="cellIs" dxfId="247" priority="10" operator="equal">
      <formula>"Empty"</formula>
    </cfRule>
  </conditionalFormatting>
  <conditionalFormatting sqref="G47">
    <cfRule type="cellIs" dxfId="246" priority="8" operator="equal">
      <formula>"Empty"</formula>
    </cfRule>
  </conditionalFormatting>
  <conditionalFormatting sqref="G47">
    <cfRule type="cellIs" dxfId="245" priority="7" operator="equal">
      <formula>"Empty"</formula>
    </cfRule>
  </conditionalFormatting>
  <conditionalFormatting sqref="F37:F46">
    <cfRule type="cellIs" dxfId="244" priority="6" operator="equal">
      <formula>"Empty"</formula>
    </cfRule>
  </conditionalFormatting>
  <conditionalFormatting sqref="F37:F46">
    <cfRule type="cellIs" dxfId="243" priority="5" operator="equal">
      <formula>"Empty"</formula>
    </cfRule>
  </conditionalFormatting>
  <conditionalFormatting sqref="H37:H46">
    <cfRule type="cellIs" dxfId="242" priority="3" operator="equal">
      <formula>"Empty"</formula>
    </cfRule>
  </conditionalFormatting>
  <conditionalFormatting sqref="H37:H46">
    <cfRule type="cellIs" dxfId="241" priority="4" operator="equal">
      <formula>"Empty"</formula>
    </cfRule>
  </conditionalFormatting>
  <conditionalFormatting sqref="H37:H46">
    <cfRule type="cellIs" dxfId="240" priority="2" operator="equal">
      <formula>"Empty"</formula>
    </cfRule>
  </conditionalFormatting>
  <conditionalFormatting sqref="H37:H46">
    <cfRule type="cellIs" dxfId="239" priority="1" operator="equal">
      <formula>"Empty"</formula>
    </cfRule>
  </conditionalFormatting>
  <printOptions horizontalCentered="1" verticalCentered="1"/>
  <pageMargins left="0.70866141732283472" right="0.70866141732283472" top="0.78740157480314965" bottom="0.55118110236220474" header="0.31496062992125984" footer="0.31496062992125984"/>
  <pageSetup paperSize="9" scale="66" orientation="portrait" horizontalDpi="300" verticalDpi="300" r:id="rId1"/>
  <headerFooter>
    <oddHeader xml:space="preserve">&amp;CAuschamps 2022
Primary Crews?&amp;RVersion at 1 Apr 22
</oddHead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'Team List'!$G$1:$G$66</xm:f>
          </x14:formula1>
          <xm:sqref>G15 G31 G47</xm:sqref>
        </x14:dataValidation>
        <x14:dataValidation type="list" allowBlank="1" showInputMessage="1" showErrorMessage="1" xr:uid="{00000000-0002-0000-0100-000001000000}">
          <x14:formula1>
            <xm:f>'Team List'!$F$1:$F$66</xm:f>
          </x14:formula1>
          <xm:sqref>H37:H46 H21:H30 H5:H14</xm:sqref>
        </x14:dataValidation>
        <x14:dataValidation type="list" allowBlank="1" showInputMessage="1" showErrorMessage="1" xr:uid="{00000000-0002-0000-0100-000002000000}">
          <x14:formula1>
            <xm:f>'Team List'!$E$1:$E$66</xm:f>
          </x14:formula1>
          <xm:sqref>F37:F46 F21:F30 F5:F14</xm:sqref>
        </x14:dataValidation>
        <x14:dataValidation type="list" showInputMessage="1" showErrorMessage="1" xr:uid="{00000000-0002-0000-0100-000003000000}">
          <x14:formula1>
            <xm:f>'Team List'!$H$1:$H$66</xm:f>
          </x14:formula1>
          <xm:sqref>G4 G20 G36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A1:S72"/>
  <sheetViews>
    <sheetView tabSelected="1" topLeftCell="A5" zoomScale="70" zoomScaleNormal="70" workbookViewId="0">
      <selection activeCell="B53" sqref="B53"/>
    </sheetView>
  </sheetViews>
  <sheetFormatPr defaultColWidth="8.85546875" defaultRowHeight="15"/>
  <cols>
    <col min="1" max="1" width="10.7109375" customWidth="1"/>
    <col min="2" max="2" width="15.85546875" bestFit="1" customWidth="1"/>
    <col min="3" max="3" width="8.85546875" style="1" customWidth="1"/>
    <col min="4" max="4" width="20.7109375" customWidth="1"/>
    <col min="5" max="6" width="19" customWidth="1"/>
    <col min="7" max="7" width="15.28515625" customWidth="1"/>
    <col min="8" max="8" width="16" customWidth="1"/>
    <col min="9" max="9" width="7.5703125" customWidth="1"/>
    <col min="10" max="10" width="5.85546875" customWidth="1"/>
    <col min="11" max="11" width="9" customWidth="1"/>
    <col min="12" max="12" width="3.7109375" customWidth="1"/>
    <col min="13" max="13" width="8.5703125" customWidth="1"/>
    <col min="14" max="14" width="5.140625" customWidth="1"/>
    <col min="15" max="15" width="8.140625" customWidth="1"/>
  </cols>
  <sheetData>
    <row r="1" spans="1:19" s="1" customFormat="1">
      <c r="A1" s="7" t="s">
        <v>75</v>
      </c>
      <c r="B1" s="7" t="s">
        <v>76</v>
      </c>
      <c r="C1" s="7" t="s">
        <v>81</v>
      </c>
      <c r="D1" s="7" t="s">
        <v>1</v>
      </c>
      <c r="E1" s="7" t="s">
        <v>16</v>
      </c>
      <c r="F1" s="7" t="s">
        <v>17</v>
      </c>
      <c r="G1" s="7" t="s">
        <v>166</v>
      </c>
      <c r="H1" s="7" t="s">
        <v>167</v>
      </c>
      <c r="I1" s="7" t="s">
        <v>0</v>
      </c>
      <c r="J1" s="7" t="s">
        <v>174</v>
      </c>
      <c r="K1" s="7" t="s">
        <v>87</v>
      </c>
      <c r="L1" s="45" t="s">
        <v>185</v>
      </c>
      <c r="M1" s="7" t="s">
        <v>82</v>
      </c>
      <c r="N1" s="7" t="s">
        <v>14</v>
      </c>
      <c r="O1" s="7" t="s">
        <v>15</v>
      </c>
      <c r="P1" s="7" t="s">
        <v>18</v>
      </c>
      <c r="Q1" s="54" t="s">
        <v>216</v>
      </c>
      <c r="R1" s="1" t="s">
        <v>217</v>
      </c>
      <c r="S1" s="1" t="s">
        <v>218</v>
      </c>
    </row>
    <row r="2" spans="1:19">
      <c r="A2" s="56" t="s">
        <v>10</v>
      </c>
      <c r="B2" s="56" t="s">
        <v>10</v>
      </c>
      <c r="C2" s="11"/>
      <c r="D2" s="56" t="s">
        <v>10</v>
      </c>
      <c r="E2" s="56" t="s">
        <v>10</v>
      </c>
      <c r="F2" s="56" t="s">
        <v>10</v>
      </c>
      <c r="G2" s="56" t="s">
        <v>10</v>
      </c>
      <c r="H2" s="56" t="s">
        <v>10</v>
      </c>
      <c r="I2" s="55">
        <v>0</v>
      </c>
      <c r="J2" s="55" t="s">
        <v>175</v>
      </c>
      <c r="K2" s="55"/>
      <c r="L2" s="55"/>
      <c r="M2" s="56" t="s">
        <v>13</v>
      </c>
      <c r="N2" s="4" t="str">
        <f>IF(AND($C2="Male",$M2="Yes"),"Yes"," ")</f>
        <v xml:space="preserve"> </v>
      </c>
      <c r="O2" s="4" t="str">
        <f>IF(AND($C2="Female",$M2="Yes"),"Yes"," ")</f>
        <v xml:space="preserve"> </v>
      </c>
      <c r="P2" s="4">
        <f>COUNTIF('Regatta Seating'!$F$1:$H$49,D2)</f>
        <v>53</v>
      </c>
      <c r="Q2" s="4">
        <f>COUNTIF('Regatta Seating'!$G$1:$G$49,D2)</f>
        <v>5</v>
      </c>
      <c r="R2">
        <f t="shared" ref="R2:R33" si="0">P2-Q2</f>
        <v>48</v>
      </c>
    </row>
    <row r="3" spans="1:19">
      <c r="A3" s="4" t="s">
        <v>31</v>
      </c>
      <c r="B3" s="4" t="s">
        <v>32</v>
      </c>
      <c r="C3" s="11" t="s">
        <v>124</v>
      </c>
      <c r="D3" s="12" t="str">
        <f t="shared" ref="D3:D34" si="1">A3&amp;" "&amp;B3</f>
        <v>Anne King</v>
      </c>
      <c r="E3" s="12" t="str">
        <f t="shared" ref="E3:E34" si="2">IF(Regatta="Yes",A3&amp;" "&amp;B3,"")</f>
        <v>Anne King</v>
      </c>
      <c r="F3" s="12"/>
      <c r="G3" s="12"/>
      <c r="H3" s="12"/>
      <c r="I3" s="8">
        <v>77.2</v>
      </c>
      <c r="J3" s="8" t="s">
        <v>16</v>
      </c>
      <c r="K3" s="8" t="str">
        <f>VLOOKUP(D3,DoB!$A$1:$E$68,5,FALSE)</f>
        <v>C</v>
      </c>
      <c r="L3" s="4" t="str">
        <f t="shared" ref="L3:L34" si="3">UPPER(LEFT(C3,1))</f>
        <v>F</v>
      </c>
      <c r="M3" s="56" t="s">
        <v>13</v>
      </c>
      <c r="N3" s="4" t="str">
        <f>IF(AND($C3="M",$M3="Yes"),"Yes"," ")</f>
        <v xml:space="preserve"> </v>
      </c>
      <c r="O3" s="4" t="str">
        <f>IF(AND($C3="F",$M3="Yes"),"Yes"," ")</f>
        <v>Yes</v>
      </c>
      <c r="P3" s="4">
        <f>COUNTIF('Regatta Seating'!$F$1:$H$49,D3)</f>
        <v>2</v>
      </c>
      <c r="Q3" s="4">
        <f>COUNTIF('Regatta Seating'!$G$1:$G$49,D3)</f>
        <v>0</v>
      </c>
      <c r="R3">
        <f t="shared" si="0"/>
        <v>2</v>
      </c>
    </row>
    <row r="4" spans="1:19">
      <c r="A4" s="4" t="s">
        <v>27</v>
      </c>
      <c r="B4" s="4" t="s">
        <v>28</v>
      </c>
      <c r="C4" s="11" t="s">
        <v>124</v>
      </c>
      <c r="D4" s="12" t="str">
        <f t="shared" si="1"/>
        <v>Annette Chappel</v>
      </c>
      <c r="E4" s="12" t="str">
        <f t="shared" si="2"/>
        <v>Annette Chappel</v>
      </c>
      <c r="F4" s="12" t="str">
        <f t="shared" ref="F4:F9" si="4">IF(Regatta="Yes",A4&amp;" "&amp;B4,"")</f>
        <v>Annette Chappel</v>
      </c>
      <c r="G4" s="12"/>
      <c r="H4" s="12" t="str">
        <f>IF(Regatta="Yes",A4&amp;" "&amp;B4,"")</f>
        <v>Annette Chappel</v>
      </c>
      <c r="I4" s="8">
        <v>60.4</v>
      </c>
      <c r="J4" s="8" t="s">
        <v>175</v>
      </c>
      <c r="K4" s="8" t="str">
        <f>VLOOKUP(D4,DoB!$A$1:$E$68,5,FALSE)</f>
        <v>C</v>
      </c>
      <c r="L4" s="4" t="str">
        <f t="shared" si="3"/>
        <v>F</v>
      </c>
      <c r="M4" s="56" t="s">
        <v>13</v>
      </c>
      <c r="N4" s="4" t="str">
        <f t="shared" ref="N4:N66" si="5">IF(AND($C4="M",$M4="Yes"),"Yes"," ")</f>
        <v xml:space="preserve"> </v>
      </c>
      <c r="O4" s="4" t="str">
        <f t="shared" ref="O4:O66" si="6">IF(AND($C4="F",$M4="Yes"),"Yes"," ")</f>
        <v>Yes</v>
      </c>
      <c r="P4" s="4">
        <f>COUNTIF('Regatta Seating'!$F$1:$H$49,D4)</f>
        <v>3</v>
      </c>
      <c r="Q4" s="4">
        <f>COUNTIF('Regatta Seating'!$G$1:$G$49,D4)</f>
        <v>0</v>
      </c>
      <c r="R4">
        <f t="shared" si="0"/>
        <v>3</v>
      </c>
    </row>
    <row r="5" spans="1:19">
      <c r="A5" s="4" t="s">
        <v>116</v>
      </c>
      <c r="B5" s="4" t="s">
        <v>117</v>
      </c>
      <c r="C5" s="11" t="s">
        <v>124</v>
      </c>
      <c r="D5" s="12" t="str">
        <f t="shared" si="1"/>
        <v>Annie Coates</v>
      </c>
      <c r="E5" s="12" t="str">
        <f t="shared" si="2"/>
        <v>Annie Coates</v>
      </c>
      <c r="F5" s="12" t="str">
        <f t="shared" si="4"/>
        <v>Annie Coates</v>
      </c>
      <c r="G5" s="12"/>
      <c r="H5" s="12" t="str">
        <f>IF(Regatta="Yes",A5&amp;" "&amp;B5,"")</f>
        <v>Annie Coates</v>
      </c>
      <c r="I5" s="8">
        <v>59.2</v>
      </c>
      <c r="J5" s="8" t="s">
        <v>17</v>
      </c>
      <c r="K5" s="8" t="str">
        <f>VLOOKUP(D5,DoB!$A$1:$E$68,5,FALSE)</f>
        <v>C</v>
      </c>
      <c r="L5" s="4" t="str">
        <f t="shared" si="3"/>
        <v>F</v>
      </c>
      <c r="M5" s="56" t="s">
        <v>13</v>
      </c>
      <c r="N5" s="4" t="str">
        <f t="shared" si="5"/>
        <v xml:space="preserve"> </v>
      </c>
      <c r="O5" s="4" t="str">
        <f t="shared" si="6"/>
        <v>Yes</v>
      </c>
      <c r="P5" s="4">
        <f>COUNTIF('Regatta Seating'!$F$1:$H$49,D5)</f>
        <v>1</v>
      </c>
      <c r="Q5" s="4">
        <f>COUNTIF('Regatta Seating'!$G$1:$G$49,D5)</f>
        <v>0</v>
      </c>
      <c r="R5">
        <f t="shared" si="0"/>
        <v>1</v>
      </c>
    </row>
    <row r="6" spans="1:19">
      <c r="A6" s="4" t="s">
        <v>266</v>
      </c>
      <c r="B6" s="4" t="s">
        <v>231</v>
      </c>
      <c r="C6" s="11" t="s">
        <v>124</v>
      </c>
      <c r="D6" s="12" t="str">
        <f t="shared" si="1"/>
        <v>Beverley Davison</v>
      </c>
      <c r="E6" s="12" t="str">
        <f t="shared" si="2"/>
        <v>Beverley Davison</v>
      </c>
      <c r="F6" s="12" t="str">
        <f t="shared" si="4"/>
        <v>Beverley Davison</v>
      </c>
      <c r="G6" s="12"/>
      <c r="H6" s="12" t="str">
        <f>IF(Regatta="Yes",A6&amp;" "&amp;B6,"")</f>
        <v>Beverley Davison</v>
      </c>
      <c r="I6" s="66">
        <v>100</v>
      </c>
      <c r="J6" s="8" t="s">
        <v>175</v>
      </c>
      <c r="K6" s="8" t="str">
        <f>VLOOKUP(D6,DoB!$A$1:$E$68,5,FALSE)</f>
        <v>C</v>
      </c>
      <c r="L6" s="4" t="str">
        <f t="shared" si="3"/>
        <v>F</v>
      </c>
      <c r="M6" s="56" t="s">
        <v>13</v>
      </c>
      <c r="N6" s="4" t="str">
        <f t="shared" si="5"/>
        <v xml:space="preserve"> </v>
      </c>
      <c r="O6" s="4" t="str">
        <f t="shared" si="6"/>
        <v>Yes</v>
      </c>
      <c r="P6" s="4">
        <f>COUNTIF('Regatta Seating'!$F$1:$H$49,D6)</f>
        <v>0</v>
      </c>
      <c r="Q6" s="4">
        <f>COUNTIF('Regatta Seating'!$G$1:$G$49,D6)</f>
        <v>0</v>
      </c>
      <c r="R6">
        <f t="shared" si="0"/>
        <v>0</v>
      </c>
    </row>
    <row r="7" spans="1:19">
      <c r="A7" s="4" t="s">
        <v>186</v>
      </c>
      <c r="B7" s="4" t="s">
        <v>187</v>
      </c>
      <c r="C7" s="11" t="s">
        <v>124</v>
      </c>
      <c r="D7" s="12" t="str">
        <f t="shared" si="1"/>
        <v>Catherine Riddoch</v>
      </c>
      <c r="E7" s="12" t="str">
        <f t="shared" si="2"/>
        <v>Catherine Riddoch</v>
      </c>
      <c r="F7" s="12" t="str">
        <f t="shared" si="4"/>
        <v>Catherine Riddoch</v>
      </c>
      <c r="G7" s="12"/>
      <c r="H7" s="12"/>
      <c r="I7" s="8">
        <v>89.1</v>
      </c>
      <c r="J7" s="8" t="s">
        <v>175</v>
      </c>
      <c r="K7" s="8" t="str">
        <f>VLOOKUP(D7,DoB!$A$1:$E$68,5,FALSE)</f>
        <v>C</v>
      </c>
      <c r="L7" s="4" t="str">
        <f t="shared" si="3"/>
        <v>F</v>
      </c>
      <c r="M7" s="56" t="s">
        <v>13</v>
      </c>
      <c r="N7" s="4" t="str">
        <f t="shared" si="5"/>
        <v xml:space="preserve"> </v>
      </c>
      <c r="O7" s="4" t="str">
        <f t="shared" si="6"/>
        <v>Yes</v>
      </c>
      <c r="P7" s="4">
        <f>COUNTIF('Regatta Seating'!$F$1:$H$49,D7)</f>
        <v>0</v>
      </c>
      <c r="Q7" s="4">
        <f>COUNTIF('Regatta Seating'!$G$1:$G$49,D7)</f>
        <v>0</v>
      </c>
      <c r="R7">
        <f t="shared" si="0"/>
        <v>0</v>
      </c>
    </row>
    <row r="8" spans="1:19">
      <c r="A8" s="4" t="s">
        <v>40</v>
      </c>
      <c r="B8" s="4" t="s">
        <v>41</v>
      </c>
      <c r="C8" s="11" t="s">
        <v>124</v>
      </c>
      <c r="D8" s="12" t="str">
        <f t="shared" si="1"/>
        <v>Cathy Urie</v>
      </c>
      <c r="E8" s="12" t="str">
        <f t="shared" si="2"/>
        <v>Cathy Urie</v>
      </c>
      <c r="F8" s="12" t="str">
        <f t="shared" si="4"/>
        <v>Cathy Urie</v>
      </c>
      <c r="G8" s="12"/>
      <c r="H8" s="12"/>
      <c r="I8" s="8">
        <v>88.3</v>
      </c>
      <c r="J8" s="8" t="s">
        <v>17</v>
      </c>
      <c r="K8" s="8" t="str">
        <f>VLOOKUP(D8,DoB!$A$1:$E$68,5,FALSE)</f>
        <v>C</v>
      </c>
      <c r="L8" s="4" t="str">
        <f t="shared" si="3"/>
        <v>F</v>
      </c>
      <c r="M8" s="56" t="s">
        <v>13</v>
      </c>
      <c r="N8" s="4" t="str">
        <f t="shared" si="5"/>
        <v xml:space="preserve"> </v>
      </c>
      <c r="O8" s="4" t="str">
        <f t="shared" si="6"/>
        <v>Yes</v>
      </c>
      <c r="P8" s="4">
        <f>COUNTIF('Regatta Seating'!$F$1:$H$49,D8)</f>
        <v>2</v>
      </c>
      <c r="Q8" s="4">
        <f>COUNTIF('Regatta Seating'!$G$1:$G$49,D8)</f>
        <v>0</v>
      </c>
      <c r="R8">
        <f t="shared" si="0"/>
        <v>2</v>
      </c>
    </row>
    <row r="9" spans="1:19">
      <c r="A9" s="4" t="s">
        <v>198</v>
      </c>
      <c r="B9" s="4" t="s">
        <v>199</v>
      </c>
      <c r="C9" s="11" t="s">
        <v>124</v>
      </c>
      <c r="D9" s="12" t="str">
        <f t="shared" si="1"/>
        <v>Christel Hendrieckx</v>
      </c>
      <c r="E9" s="12" t="str">
        <f t="shared" si="2"/>
        <v>Christel Hendrieckx</v>
      </c>
      <c r="F9" s="12" t="str">
        <f t="shared" si="4"/>
        <v>Christel Hendrieckx</v>
      </c>
      <c r="G9" s="12"/>
      <c r="H9" s="12"/>
      <c r="I9" s="8">
        <v>56.5</v>
      </c>
      <c r="J9" s="8" t="s">
        <v>175</v>
      </c>
      <c r="K9" s="8" t="str">
        <f>VLOOKUP(D9,DoB!$A$1:$E$68,5,FALSE)</f>
        <v>C</v>
      </c>
      <c r="L9" s="4" t="str">
        <f t="shared" si="3"/>
        <v>F</v>
      </c>
      <c r="M9" s="56" t="s">
        <v>13</v>
      </c>
      <c r="N9" s="4" t="str">
        <f t="shared" si="5"/>
        <v xml:space="preserve"> </v>
      </c>
      <c r="O9" s="4" t="str">
        <f t="shared" si="6"/>
        <v>Yes</v>
      </c>
      <c r="P9" s="4">
        <f>COUNTIF('Regatta Seating'!$F$1:$H$49,D9)</f>
        <v>1</v>
      </c>
      <c r="Q9" s="4">
        <f>COUNTIF('Regatta Seating'!$G$1:$G$49,D9)</f>
        <v>0</v>
      </c>
      <c r="R9">
        <f t="shared" si="0"/>
        <v>1</v>
      </c>
    </row>
    <row r="10" spans="1:19">
      <c r="A10" s="4" t="s">
        <v>121</v>
      </c>
      <c r="B10" s="4" t="s">
        <v>70</v>
      </c>
      <c r="C10" s="11" t="s">
        <v>124</v>
      </c>
      <c r="D10" s="12" t="str">
        <f t="shared" si="1"/>
        <v>Claire Robinson</v>
      </c>
      <c r="E10" s="12" t="str">
        <f t="shared" si="2"/>
        <v>Claire Robinson</v>
      </c>
      <c r="F10" s="12"/>
      <c r="G10" s="12"/>
      <c r="H10" s="12" t="str">
        <f>IF(Regatta="Yes",A10&amp;" "&amp;B10,"")</f>
        <v>Claire Robinson</v>
      </c>
      <c r="I10" s="8">
        <v>64.2</v>
      </c>
      <c r="J10" s="8" t="s">
        <v>16</v>
      </c>
      <c r="K10" s="8" t="str">
        <f>VLOOKUP(D10,DoB!$A$1:$E$68,5,FALSE)</f>
        <v>C</v>
      </c>
      <c r="L10" s="4" t="str">
        <f t="shared" si="3"/>
        <v>F</v>
      </c>
      <c r="M10" s="56" t="s">
        <v>13</v>
      </c>
      <c r="N10" s="4" t="str">
        <f t="shared" si="5"/>
        <v xml:space="preserve"> </v>
      </c>
      <c r="O10" s="4" t="str">
        <f t="shared" si="6"/>
        <v>Yes</v>
      </c>
      <c r="P10" s="4">
        <f>COUNTIF('Regatta Seating'!$F$1:$H$49,D10)</f>
        <v>0</v>
      </c>
      <c r="Q10" s="4">
        <f>COUNTIF('Regatta Seating'!$G$1:$G$49,D10)</f>
        <v>0</v>
      </c>
      <c r="R10">
        <f t="shared" si="0"/>
        <v>0</v>
      </c>
    </row>
    <row r="11" spans="1:19">
      <c r="A11" s="4" t="s">
        <v>79</v>
      </c>
      <c r="B11" s="4" t="s">
        <v>80</v>
      </c>
      <c r="C11" s="11" t="s">
        <v>124</v>
      </c>
      <c r="D11" s="12" t="str">
        <f t="shared" si="1"/>
        <v>Colleen Sells</v>
      </c>
      <c r="E11" s="12" t="str">
        <f t="shared" si="2"/>
        <v>Colleen Sells</v>
      </c>
      <c r="F11" s="12" t="str">
        <f t="shared" ref="F11:F19" si="7">IF(Regatta="Yes",A11&amp;" "&amp;B11,"")</f>
        <v>Colleen Sells</v>
      </c>
      <c r="G11" s="12"/>
      <c r="H11" s="12" t="str">
        <f>IF(Regatta="Yes",A11&amp;" "&amp;B11,"")</f>
        <v>Colleen Sells</v>
      </c>
      <c r="I11" s="8">
        <v>58</v>
      </c>
      <c r="J11" s="8" t="s">
        <v>175</v>
      </c>
      <c r="K11" s="8" t="str">
        <f>VLOOKUP(D11,DoB!$A$1:$E$68,5,FALSE)</f>
        <v>C</v>
      </c>
      <c r="L11" s="4" t="str">
        <f t="shared" si="3"/>
        <v>F</v>
      </c>
      <c r="M11" s="56" t="s">
        <v>13</v>
      </c>
      <c r="N11" s="4" t="str">
        <f t="shared" si="5"/>
        <v xml:space="preserve"> </v>
      </c>
      <c r="O11" s="4" t="str">
        <f t="shared" si="6"/>
        <v>Yes</v>
      </c>
      <c r="P11" s="4">
        <f>COUNTIF('Regatta Seating'!$F$1:$H$49,D11)</f>
        <v>0</v>
      </c>
      <c r="Q11" s="4">
        <f>COUNTIF('Regatta Seating'!$G$1:$G$49,D11)</f>
        <v>0</v>
      </c>
      <c r="R11">
        <f t="shared" si="0"/>
        <v>0</v>
      </c>
    </row>
    <row r="12" spans="1:19">
      <c r="A12" s="4" t="s">
        <v>86</v>
      </c>
      <c r="B12" s="4" t="s">
        <v>33</v>
      </c>
      <c r="C12" s="11" t="s">
        <v>124</v>
      </c>
      <c r="D12" s="12" t="str">
        <f t="shared" si="1"/>
        <v>Elizabeth Liston</v>
      </c>
      <c r="E12" s="12" t="str">
        <f t="shared" si="2"/>
        <v>Elizabeth Liston</v>
      </c>
      <c r="F12" s="12" t="str">
        <f t="shared" si="7"/>
        <v>Elizabeth Liston</v>
      </c>
      <c r="G12" s="12"/>
      <c r="H12" s="12"/>
      <c r="I12" s="8"/>
      <c r="J12" s="8" t="s">
        <v>17</v>
      </c>
      <c r="K12" s="8" t="str">
        <f>VLOOKUP(D12,DoB!$A$1:$E$68,5,FALSE)</f>
        <v>C</v>
      </c>
      <c r="L12" s="4" t="str">
        <f t="shared" si="3"/>
        <v>F</v>
      </c>
      <c r="M12" s="56" t="s">
        <v>13</v>
      </c>
      <c r="N12" s="4" t="str">
        <f t="shared" si="5"/>
        <v xml:space="preserve"> </v>
      </c>
      <c r="O12" s="4" t="str">
        <f t="shared" si="6"/>
        <v>Yes</v>
      </c>
      <c r="P12" s="4">
        <f>COUNTIF('Regatta Seating'!$F$1:$H$49,D12)</f>
        <v>0</v>
      </c>
      <c r="Q12" s="4">
        <f>COUNTIF('Regatta Seating'!$G$1:$G$49,D12)</f>
        <v>0</v>
      </c>
      <c r="R12">
        <f t="shared" si="0"/>
        <v>0</v>
      </c>
    </row>
    <row r="13" spans="1:19">
      <c r="A13" s="4" t="s">
        <v>65</v>
      </c>
      <c r="B13" s="4" t="s">
        <v>66</v>
      </c>
      <c r="C13" s="11" t="s">
        <v>124</v>
      </c>
      <c r="D13" s="12" t="str">
        <f t="shared" si="1"/>
        <v>Jan Hagston</v>
      </c>
      <c r="E13" s="12" t="str">
        <f t="shared" si="2"/>
        <v>Jan Hagston</v>
      </c>
      <c r="F13" s="12" t="str">
        <f t="shared" si="7"/>
        <v>Jan Hagston</v>
      </c>
      <c r="G13" s="12"/>
      <c r="H13" s="12"/>
      <c r="I13" s="8">
        <v>67</v>
      </c>
      <c r="J13" s="8" t="s">
        <v>17</v>
      </c>
      <c r="K13" s="8" t="str">
        <f>VLOOKUP(D13,DoB!$A$1:$E$68,5,FALSE)</f>
        <v>C</v>
      </c>
      <c r="L13" s="4" t="str">
        <f t="shared" si="3"/>
        <v>F</v>
      </c>
      <c r="M13" s="56" t="s">
        <v>13</v>
      </c>
      <c r="N13" s="4" t="str">
        <f t="shared" si="5"/>
        <v xml:space="preserve"> </v>
      </c>
      <c r="O13" s="4" t="str">
        <f t="shared" si="6"/>
        <v>Yes</v>
      </c>
      <c r="P13" s="4">
        <f>COUNTIF('Regatta Seating'!$F$1:$H$49,D13)</f>
        <v>0</v>
      </c>
      <c r="Q13" s="4">
        <f>COUNTIF('Regatta Seating'!$G$1:$G$49,D13)</f>
        <v>0</v>
      </c>
      <c r="R13">
        <f t="shared" si="0"/>
        <v>0</v>
      </c>
    </row>
    <row r="14" spans="1:19">
      <c r="A14" s="4" t="s">
        <v>23</v>
      </c>
      <c r="B14" s="4" t="s">
        <v>24</v>
      </c>
      <c r="C14" s="11" t="s">
        <v>124</v>
      </c>
      <c r="D14" s="12" t="str">
        <f t="shared" si="1"/>
        <v>Janet Buckley</v>
      </c>
      <c r="E14" s="12" t="str">
        <f t="shared" si="2"/>
        <v>Janet Buckley</v>
      </c>
      <c r="F14" s="12" t="str">
        <f t="shared" si="7"/>
        <v>Janet Buckley</v>
      </c>
      <c r="G14" s="12" t="str">
        <f>IF(Regatta="Yes",A14&amp;" "&amp;B14,"")</f>
        <v>Janet Buckley</v>
      </c>
      <c r="H14" s="12" t="str">
        <f>IF(Regatta="Yes",A14&amp;" "&amp;B14,"")</f>
        <v>Janet Buckley</v>
      </c>
      <c r="I14" s="8">
        <v>59.7</v>
      </c>
      <c r="J14" s="8" t="s">
        <v>175</v>
      </c>
      <c r="K14" s="8" t="str">
        <f>VLOOKUP(D14,DoB!$A$1:$E$68,5,FALSE)</f>
        <v>C</v>
      </c>
      <c r="L14" s="4" t="str">
        <f t="shared" si="3"/>
        <v>F</v>
      </c>
      <c r="M14" s="56" t="s">
        <v>13</v>
      </c>
      <c r="N14" s="4" t="str">
        <f t="shared" si="5"/>
        <v xml:space="preserve"> </v>
      </c>
      <c r="O14" s="4" t="str">
        <f t="shared" si="6"/>
        <v>Yes</v>
      </c>
      <c r="P14" s="4">
        <f>COUNTIF('Regatta Seating'!$F$1:$H$49,D14)</f>
        <v>0</v>
      </c>
      <c r="Q14" s="4">
        <f>COUNTIF('Regatta Seating'!$G$1:$G$49,D14)</f>
        <v>0</v>
      </c>
      <c r="R14">
        <f t="shared" si="0"/>
        <v>0</v>
      </c>
    </row>
    <row r="15" spans="1:19">
      <c r="A15" s="4" t="s">
        <v>200</v>
      </c>
      <c r="B15" s="4" t="s">
        <v>201</v>
      </c>
      <c r="C15" s="11" t="s">
        <v>124</v>
      </c>
      <c r="D15" s="12" t="str">
        <f t="shared" si="1"/>
        <v>Jennifer Atkins</v>
      </c>
      <c r="E15" s="12" t="str">
        <f t="shared" si="2"/>
        <v>Jennifer Atkins</v>
      </c>
      <c r="F15" s="12" t="str">
        <f t="shared" si="7"/>
        <v>Jennifer Atkins</v>
      </c>
      <c r="G15" s="12"/>
      <c r="H15" s="12"/>
      <c r="I15" s="8">
        <v>73.5</v>
      </c>
      <c r="J15" s="8" t="s">
        <v>175</v>
      </c>
      <c r="K15" s="8" t="str">
        <f>VLOOKUP(D15,DoB!$A$1:$E$68,5,FALSE)</f>
        <v>C</v>
      </c>
      <c r="L15" s="4" t="str">
        <f t="shared" si="3"/>
        <v>F</v>
      </c>
      <c r="M15" s="56" t="s">
        <v>13</v>
      </c>
      <c r="N15" s="4" t="str">
        <f t="shared" si="5"/>
        <v xml:space="preserve"> </v>
      </c>
      <c r="O15" s="4" t="str">
        <f t="shared" si="6"/>
        <v>Yes</v>
      </c>
      <c r="P15" s="4">
        <f>COUNTIF('Regatta Seating'!$F$1:$H$49,D15)</f>
        <v>0</v>
      </c>
      <c r="Q15" s="4">
        <f>COUNTIF('Regatta Seating'!$G$1:$G$49,D15)</f>
        <v>0</v>
      </c>
      <c r="R15">
        <f t="shared" si="0"/>
        <v>0</v>
      </c>
    </row>
    <row r="16" spans="1:19">
      <c r="A16" s="4" t="s">
        <v>200</v>
      </c>
      <c r="B16" s="4" t="s">
        <v>202</v>
      </c>
      <c r="C16" s="11" t="s">
        <v>124</v>
      </c>
      <c r="D16" s="12" t="str">
        <f t="shared" si="1"/>
        <v>Jennifer Donnelly</v>
      </c>
      <c r="E16" s="12" t="str">
        <f t="shared" si="2"/>
        <v>Jennifer Donnelly</v>
      </c>
      <c r="F16" s="12" t="str">
        <f t="shared" si="7"/>
        <v>Jennifer Donnelly</v>
      </c>
      <c r="G16" s="12"/>
      <c r="H16" s="12"/>
      <c r="I16" s="8">
        <v>94.7</v>
      </c>
      <c r="J16" s="8" t="s">
        <v>17</v>
      </c>
      <c r="K16" s="8" t="str">
        <f>VLOOKUP(D16,DoB!$A$1:$E$68,5,FALSE)</f>
        <v>A</v>
      </c>
      <c r="L16" s="4" t="str">
        <f t="shared" si="3"/>
        <v>F</v>
      </c>
      <c r="M16" s="56" t="s">
        <v>13</v>
      </c>
      <c r="N16" s="4" t="str">
        <f t="shared" si="5"/>
        <v xml:space="preserve"> </v>
      </c>
      <c r="O16" s="4" t="str">
        <f t="shared" si="6"/>
        <v>Yes</v>
      </c>
      <c r="P16" s="4">
        <f>COUNTIF('Regatta Seating'!$F$1:$H$49,D16)</f>
        <v>0</v>
      </c>
      <c r="Q16" s="4">
        <f>COUNTIF('Regatta Seating'!$G$1:$G$49,D16)</f>
        <v>0</v>
      </c>
      <c r="R16">
        <f t="shared" si="0"/>
        <v>0</v>
      </c>
    </row>
    <row r="17" spans="1:18">
      <c r="A17" s="4" t="s">
        <v>29</v>
      </c>
      <c r="B17" s="4" t="s">
        <v>210</v>
      </c>
      <c r="C17" s="11" t="s">
        <v>124</v>
      </c>
      <c r="D17" s="12" t="str">
        <f t="shared" si="1"/>
        <v>Jenny Britt</v>
      </c>
      <c r="E17" s="12" t="str">
        <f t="shared" si="2"/>
        <v>Jenny Britt</v>
      </c>
      <c r="F17" s="12" t="str">
        <f t="shared" si="7"/>
        <v>Jenny Britt</v>
      </c>
      <c r="G17" s="12"/>
      <c r="H17" s="12"/>
      <c r="I17" s="8">
        <v>60.9</v>
      </c>
      <c r="J17" s="8" t="s">
        <v>17</v>
      </c>
      <c r="K17" s="8" t="str">
        <f>VLOOKUP(D17,DoB!$A$1:$E$68,5,FALSE)</f>
        <v>C</v>
      </c>
      <c r="L17" s="4" t="str">
        <f t="shared" si="3"/>
        <v>F</v>
      </c>
      <c r="M17" s="56" t="s">
        <v>13</v>
      </c>
      <c r="N17" s="4" t="str">
        <f t="shared" si="5"/>
        <v xml:space="preserve"> </v>
      </c>
      <c r="O17" s="4" t="str">
        <f t="shared" si="6"/>
        <v>Yes</v>
      </c>
      <c r="P17" s="4">
        <f>COUNTIF('Regatta Seating'!$F$1:$H$49,D17)</f>
        <v>0</v>
      </c>
      <c r="Q17" s="4">
        <f>COUNTIF('Regatta Seating'!$G$1:$G$49,D17)</f>
        <v>0</v>
      </c>
      <c r="R17">
        <f t="shared" si="0"/>
        <v>0</v>
      </c>
    </row>
    <row r="18" spans="1:18">
      <c r="A18" s="4" t="s">
        <v>29</v>
      </c>
      <c r="B18" s="4" t="s">
        <v>30</v>
      </c>
      <c r="C18" s="11" t="s">
        <v>124</v>
      </c>
      <c r="D18" s="12" t="str">
        <f t="shared" si="1"/>
        <v>Jenny Gibson</v>
      </c>
      <c r="E18" s="12" t="str">
        <f t="shared" si="2"/>
        <v>Jenny Gibson</v>
      </c>
      <c r="F18" s="12" t="str">
        <f t="shared" si="7"/>
        <v>Jenny Gibson</v>
      </c>
      <c r="G18" s="12" t="str">
        <f>IF(Regatta="Yes",A18&amp;" "&amp;B18,"")</f>
        <v>Jenny Gibson</v>
      </c>
      <c r="H18" s="12" t="str">
        <f>IF(Regatta="Yes",A18&amp;" "&amp;B18,"")</f>
        <v>Jenny Gibson</v>
      </c>
      <c r="I18" s="8">
        <v>52.4</v>
      </c>
      <c r="J18" s="8" t="s">
        <v>17</v>
      </c>
      <c r="K18" s="8" t="str">
        <f>VLOOKUP(D18,DoB!$A$1:$E$68,5,FALSE)</f>
        <v>C</v>
      </c>
      <c r="L18" s="4" t="str">
        <f t="shared" si="3"/>
        <v>F</v>
      </c>
      <c r="M18" s="56" t="s">
        <v>13</v>
      </c>
      <c r="N18" s="4" t="str">
        <f t="shared" si="5"/>
        <v xml:space="preserve"> </v>
      </c>
      <c r="O18" s="4" t="str">
        <f t="shared" si="6"/>
        <v>Yes</v>
      </c>
      <c r="P18" s="4">
        <f>COUNTIF('Regatta Seating'!$F$1:$H$49,D18)</f>
        <v>0</v>
      </c>
      <c r="Q18" s="4">
        <f>COUNTIF('Regatta Seating'!$G$1:$G$49,D18)</f>
        <v>0</v>
      </c>
      <c r="R18">
        <f t="shared" si="0"/>
        <v>0</v>
      </c>
    </row>
    <row r="19" spans="1:18">
      <c r="A19" s="4" t="s">
        <v>29</v>
      </c>
      <c r="B19" s="4" t="s">
        <v>42</v>
      </c>
      <c r="C19" s="11" t="s">
        <v>124</v>
      </c>
      <c r="D19" s="12" t="str">
        <f t="shared" si="1"/>
        <v>Jenny Walsh</v>
      </c>
      <c r="E19" s="12" t="str">
        <f t="shared" si="2"/>
        <v>Jenny Walsh</v>
      </c>
      <c r="F19" s="12" t="str">
        <f t="shared" si="7"/>
        <v>Jenny Walsh</v>
      </c>
      <c r="G19" s="12"/>
      <c r="H19" s="12" t="str">
        <f>IF(Regatta="Yes",A19&amp;" "&amp;B19,"")</f>
        <v>Jenny Walsh</v>
      </c>
      <c r="I19" s="8">
        <v>67.7</v>
      </c>
      <c r="J19" s="8" t="s">
        <v>175</v>
      </c>
      <c r="K19" s="8" t="str">
        <f>VLOOKUP(D19,DoB!$A$1:$E$68,5,FALSE)</f>
        <v>C</v>
      </c>
      <c r="L19" s="4" t="str">
        <f t="shared" si="3"/>
        <v>F</v>
      </c>
      <c r="M19" s="56" t="s">
        <v>13</v>
      </c>
      <c r="N19" s="4" t="str">
        <f t="shared" si="5"/>
        <v xml:space="preserve"> </v>
      </c>
      <c r="O19" s="4" t="str">
        <f t="shared" si="6"/>
        <v>Yes</v>
      </c>
      <c r="P19" s="4">
        <f>COUNTIF('Regatta Seating'!$F$1:$H$49,D19)</f>
        <v>0</v>
      </c>
      <c r="Q19" s="4">
        <f>COUNTIF('Regatta Seating'!$G$1:$G$49,D19)</f>
        <v>0</v>
      </c>
      <c r="R19">
        <f t="shared" si="0"/>
        <v>0</v>
      </c>
    </row>
    <row r="20" spans="1:18">
      <c r="A20" s="4" t="s">
        <v>77</v>
      </c>
      <c r="B20" s="4" t="s">
        <v>78</v>
      </c>
      <c r="C20" s="11" t="s">
        <v>124</v>
      </c>
      <c r="D20" s="12" t="str">
        <f t="shared" si="1"/>
        <v>Jill Hicks</v>
      </c>
      <c r="E20" s="12" t="str">
        <f t="shared" si="2"/>
        <v>Jill Hicks</v>
      </c>
      <c r="F20" s="12"/>
      <c r="G20" s="12" t="str">
        <f>IF(Regatta="Yes",A20&amp;" "&amp;B20,"")</f>
        <v>Jill Hicks</v>
      </c>
      <c r="H20" s="12" t="str">
        <f>IF(Regatta="Yes",A20&amp;" "&amp;B20,"")</f>
        <v>Jill Hicks</v>
      </c>
      <c r="I20" s="8">
        <v>61.8</v>
      </c>
      <c r="J20" s="8" t="s">
        <v>16</v>
      </c>
      <c r="K20" s="8" t="str">
        <f>VLOOKUP(D20,DoB!$A$1:$E$68,5,FALSE)</f>
        <v>C</v>
      </c>
      <c r="L20" s="4" t="str">
        <f t="shared" si="3"/>
        <v>F</v>
      </c>
      <c r="M20" s="56" t="s">
        <v>13</v>
      </c>
      <c r="N20" s="4" t="str">
        <f t="shared" si="5"/>
        <v xml:space="preserve"> </v>
      </c>
      <c r="O20" s="4" t="str">
        <f t="shared" si="6"/>
        <v>Yes</v>
      </c>
      <c r="P20" s="4">
        <f>COUNTIF('Regatta Seating'!$F$1:$H$49,D20)</f>
        <v>0</v>
      </c>
      <c r="Q20" s="4">
        <f>COUNTIF('Regatta Seating'!$G$1:$G$49,D20)</f>
        <v>0</v>
      </c>
      <c r="R20">
        <f t="shared" si="0"/>
        <v>0</v>
      </c>
    </row>
    <row r="21" spans="1:18">
      <c r="A21" s="4" t="s">
        <v>25</v>
      </c>
      <c r="B21" s="4" t="s">
        <v>26</v>
      </c>
      <c r="C21" s="11" t="s">
        <v>124</v>
      </c>
      <c r="D21" s="12" t="str">
        <f t="shared" si="1"/>
        <v>Lili Chan</v>
      </c>
      <c r="E21" s="12" t="str">
        <f t="shared" si="2"/>
        <v>Lili Chan</v>
      </c>
      <c r="F21" s="12" t="str">
        <f t="shared" ref="F21:F37" si="8">IF(Regatta="Yes",A21&amp;" "&amp;B21,"")</f>
        <v>Lili Chan</v>
      </c>
      <c r="G21" s="12"/>
      <c r="H21" s="12"/>
      <c r="I21" s="8">
        <v>61.4</v>
      </c>
      <c r="J21" s="8" t="s">
        <v>16</v>
      </c>
      <c r="K21" s="8" t="str">
        <f>VLOOKUP(D21,DoB!$A$1:$E$68,5,FALSE)</f>
        <v>C</v>
      </c>
      <c r="L21" s="4" t="str">
        <f t="shared" si="3"/>
        <v>F</v>
      </c>
      <c r="M21" s="56" t="s">
        <v>13</v>
      </c>
      <c r="N21" s="4" t="str">
        <f t="shared" si="5"/>
        <v xml:space="preserve"> </v>
      </c>
      <c r="O21" s="4" t="str">
        <f t="shared" si="6"/>
        <v>Yes</v>
      </c>
      <c r="P21" s="4">
        <f>COUNTIF('Regatta Seating'!$F$1:$H$49,D21)</f>
        <v>0</v>
      </c>
      <c r="Q21" s="4">
        <f>COUNTIF('Regatta Seating'!$G$1:$G$49,D21)</f>
        <v>0</v>
      </c>
      <c r="R21">
        <f t="shared" si="0"/>
        <v>0</v>
      </c>
    </row>
    <row r="22" spans="1:18">
      <c r="A22" s="4" t="s">
        <v>112</v>
      </c>
      <c r="B22" s="4" t="s">
        <v>111</v>
      </c>
      <c r="C22" s="11" t="s">
        <v>124</v>
      </c>
      <c r="D22" s="12" t="str">
        <f t="shared" si="1"/>
        <v>Lisa Burns</v>
      </c>
      <c r="E22" s="12" t="str">
        <f t="shared" si="2"/>
        <v>Lisa Burns</v>
      </c>
      <c r="F22" s="12" t="str">
        <f t="shared" si="8"/>
        <v>Lisa Burns</v>
      </c>
      <c r="G22" s="12"/>
      <c r="H22" s="12" t="str">
        <f>IF(Regatta="Yes",A22&amp;" "&amp;B22,"")</f>
        <v>Lisa Burns</v>
      </c>
      <c r="I22" s="8">
        <v>66</v>
      </c>
      <c r="J22" s="8" t="s">
        <v>17</v>
      </c>
      <c r="K22" s="8" t="str">
        <f>VLOOKUP(D22,DoB!$A$1:$E$68,5,FALSE)</f>
        <v>C</v>
      </c>
      <c r="L22" s="4" t="str">
        <f t="shared" si="3"/>
        <v>F</v>
      </c>
      <c r="M22" s="56" t="s">
        <v>13</v>
      </c>
      <c r="N22" s="4" t="str">
        <f t="shared" si="5"/>
        <v xml:space="preserve"> </v>
      </c>
      <c r="O22" s="4" t="str">
        <f t="shared" si="6"/>
        <v>Yes</v>
      </c>
      <c r="P22" s="4">
        <f>COUNTIF('Regatta Seating'!$F$1:$H$49,D22)</f>
        <v>0</v>
      </c>
      <c r="Q22" s="4">
        <f>COUNTIF('Regatta Seating'!$G$1:$G$49,D22)</f>
        <v>0</v>
      </c>
      <c r="R22">
        <f t="shared" si="0"/>
        <v>0</v>
      </c>
    </row>
    <row r="23" spans="1:18">
      <c r="A23" s="4" t="s">
        <v>64</v>
      </c>
      <c r="B23" s="4" t="s">
        <v>43</v>
      </c>
      <c r="C23" s="11" t="s">
        <v>124</v>
      </c>
      <c r="D23" s="12" t="str">
        <f t="shared" si="1"/>
        <v>Lorna Williams</v>
      </c>
      <c r="E23" s="12" t="str">
        <f t="shared" si="2"/>
        <v>Lorna Williams</v>
      </c>
      <c r="F23" s="12" t="str">
        <f t="shared" si="8"/>
        <v>Lorna Williams</v>
      </c>
      <c r="G23" s="12"/>
      <c r="H23" s="12"/>
      <c r="I23" s="8"/>
      <c r="J23" s="8" t="s">
        <v>175</v>
      </c>
      <c r="K23" s="8" t="str">
        <f>VLOOKUP(D23,DoB!$A$1:$E$68,5,FALSE)</f>
        <v>C</v>
      </c>
      <c r="L23" s="4" t="str">
        <f t="shared" si="3"/>
        <v>F</v>
      </c>
      <c r="M23" s="56" t="s">
        <v>13</v>
      </c>
      <c r="N23" s="4" t="str">
        <f t="shared" si="5"/>
        <v xml:space="preserve"> </v>
      </c>
      <c r="O23" s="4" t="str">
        <f t="shared" si="6"/>
        <v>Yes</v>
      </c>
      <c r="P23" s="4">
        <f>COUNTIF('Regatta Seating'!$F$1:$H$49,D23)</f>
        <v>0</v>
      </c>
      <c r="Q23" s="4">
        <f>COUNTIF('Regatta Seating'!$G$1:$G$49,D23)</f>
        <v>0</v>
      </c>
      <c r="R23">
        <f t="shared" si="0"/>
        <v>0</v>
      </c>
    </row>
    <row r="24" spans="1:18">
      <c r="A24" s="4" t="s">
        <v>59</v>
      </c>
      <c r="B24" s="4" t="s">
        <v>115</v>
      </c>
      <c r="C24" s="11" t="s">
        <v>124</v>
      </c>
      <c r="D24" s="12" t="str">
        <f t="shared" si="1"/>
        <v>Marianne Clarke</v>
      </c>
      <c r="E24" s="12" t="str">
        <f t="shared" si="2"/>
        <v>Marianne Clarke</v>
      </c>
      <c r="F24" s="12" t="str">
        <f t="shared" si="8"/>
        <v>Marianne Clarke</v>
      </c>
      <c r="G24" s="12"/>
      <c r="H24" s="12" t="str">
        <f>IF(Regatta="Yes",A24&amp;" "&amp;B24,"")</f>
        <v>Marianne Clarke</v>
      </c>
      <c r="I24" s="8">
        <v>53.5</v>
      </c>
      <c r="J24" s="8" t="s">
        <v>175</v>
      </c>
      <c r="K24" s="8" t="str">
        <f>VLOOKUP(D24,DoB!$A$1:$E$68,5,FALSE)</f>
        <v>B</v>
      </c>
      <c r="L24" s="4" t="str">
        <f t="shared" si="3"/>
        <v>F</v>
      </c>
      <c r="M24" s="56" t="s">
        <v>13</v>
      </c>
      <c r="N24" s="4" t="str">
        <f t="shared" si="5"/>
        <v xml:space="preserve"> </v>
      </c>
      <c r="O24" s="4" t="str">
        <f t="shared" si="6"/>
        <v>Yes</v>
      </c>
      <c r="P24" s="4">
        <f>COUNTIF('Regatta Seating'!$F$1:$H$49,D24)</f>
        <v>0</v>
      </c>
      <c r="Q24" s="4">
        <f>COUNTIF('Regatta Seating'!$G$1:$G$49,D24)</f>
        <v>0</v>
      </c>
      <c r="R24">
        <f t="shared" si="0"/>
        <v>0</v>
      </c>
    </row>
    <row r="25" spans="1:18">
      <c r="A25" s="4" t="s">
        <v>240</v>
      </c>
      <c r="B25" s="4" t="s">
        <v>241</v>
      </c>
      <c r="C25" s="11" t="s">
        <v>124</v>
      </c>
      <c r="D25" s="12" t="str">
        <f t="shared" si="1"/>
        <v>Margaret Birrell</v>
      </c>
      <c r="E25" s="12" t="str">
        <f t="shared" si="2"/>
        <v>Margaret Birrell</v>
      </c>
      <c r="F25" s="12" t="str">
        <f t="shared" si="8"/>
        <v>Margaret Birrell</v>
      </c>
      <c r="G25" s="12"/>
      <c r="H25" s="12"/>
      <c r="I25" s="66">
        <v>100</v>
      </c>
      <c r="J25" s="8" t="s">
        <v>175</v>
      </c>
      <c r="K25" s="8" t="str">
        <f>VLOOKUP(D25,DoB!$A$1:$E$68,5,FALSE)</f>
        <v>A</v>
      </c>
      <c r="L25" s="4" t="str">
        <f t="shared" si="3"/>
        <v>F</v>
      </c>
      <c r="M25" s="56" t="s">
        <v>13</v>
      </c>
      <c r="N25" s="4" t="str">
        <f t="shared" si="5"/>
        <v xml:space="preserve"> </v>
      </c>
      <c r="O25" s="4" t="str">
        <f t="shared" si="6"/>
        <v>Yes</v>
      </c>
      <c r="P25" s="4">
        <f>COUNTIF('Regatta Seating'!$F$1:$H$49,D25)</f>
        <v>0</v>
      </c>
      <c r="Q25" s="4">
        <f>COUNTIF('Regatta Seating'!$G$1:$G$49,D25)</f>
        <v>0</v>
      </c>
      <c r="R25">
        <f t="shared" si="0"/>
        <v>0</v>
      </c>
    </row>
    <row r="26" spans="1:18">
      <c r="A26" s="4" t="s">
        <v>118</v>
      </c>
      <c r="B26" s="4" t="s">
        <v>184</v>
      </c>
      <c r="C26" s="11" t="s">
        <v>124</v>
      </c>
      <c r="D26" s="12" t="str">
        <f t="shared" si="1"/>
        <v>Nikki McKay</v>
      </c>
      <c r="E26" s="12" t="str">
        <f t="shared" si="2"/>
        <v>Nikki McKay</v>
      </c>
      <c r="F26" s="12" t="str">
        <f t="shared" si="8"/>
        <v>Nikki McKay</v>
      </c>
      <c r="G26" s="12"/>
      <c r="H26" s="12"/>
      <c r="I26" s="8">
        <v>80</v>
      </c>
      <c r="J26" s="8" t="s">
        <v>175</v>
      </c>
      <c r="K26" s="8" t="str">
        <f>VLOOKUP(D26,DoB!$A$1:$E$68,5,FALSE)</f>
        <v>B</v>
      </c>
      <c r="L26" s="4" t="str">
        <f t="shared" si="3"/>
        <v>F</v>
      </c>
      <c r="M26" s="56" t="s">
        <v>13</v>
      </c>
      <c r="N26" s="4" t="str">
        <f t="shared" si="5"/>
        <v xml:space="preserve"> </v>
      </c>
      <c r="O26" s="4" t="str">
        <f t="shared" si="6"/>
        <v>Yes</v>
      </c>
      <c r="P26" s="4">
        <f>COUNTIF('Regatta Seating'!$F$1:$H$49,D26)</f>
        <v>0</v>
      </c>
      <c r="Q26" s="4">
        <f>COUNTIF('Regatta Seating'!$G$1:$G$49,D26)</f>
        <v>0</v>
      </c>
      <c r="R26">
        <f t="shared" si="0"/>
        <v>0</v>
      </c>
    </row>
    <row r="27" spans="1:18">
      <c r="A27" s="4" t="s">
        <v>36</v>
      </c>
      <c r="B27" s="4" t="s">
        <v>37</v>
      </c>
      <c r="C27" s="11" t="s">
        <v>124</v>
      </c>
      <c r="D27" s="12" t="str">
        <f t="shared" si="1"/>
        <v>Philippa McLean</v>
      </c>
      <c r="E27" s="12" t="str">
        <f t="shared" si="2"/>
        <v>Philippa McLean</v>
      </c>
      <c r="F27" s="12" t="str">
        <f t="shared" si="8"/>
        <v>Philippa McLean</v>
      </c>
      <c r="G27" s="12"/>
      <c r="H27" s="12" t="str">
        <f>IF(Regatta="Yes",A27&amp;" "&amp;B27,"")</f>
        <v>Philippa McLean</v>
      </c>
      <c r="I27" s="8">
        <v>60</v>
      </c>
      <c r="J27" s="8" t="s">
        <v>175</v>
      </c>
      <c r="K27" s="8" t="str">
        <f>VLOOKUP(D27,DoB!$A$1:$E$68,5,FALSE)</f>
        <v>C</v>
      </c>
      <c r="L27" s="4" t="str">
        <f t="shared" si="3"/>
        <v>F</v>
      </c>
      <c r="M27" s="56" t="s">
        <v>13</v>
      </c>
      <c r="N27" s="4" t="str">
        <f t="shared" si="5"/>
        <v xml:space="preserve"> </v>
      </c>
      <c r="O27" s="4" t="str">
        <f t="shared" si="6"/>
        <v>Yes</v>
      </c>
      <c r="P27" s="4">
        <f>COUNTIF('Regatta Seating'!$F$1:$H$49,D27)</f>
        <v>0</v>
      </c>
      <c r="Q27" s="4">
        <f>COUNTIF('Regatta Seating'!$G$1:$G$49,D27)</f>
        <v>0</v>
      </c>
      <c r="R27">
        <f t="shared" si="0"/>
        <v>0</v>
      </c>
    </row>
    <row r="28" spans="1:18">
      <c r="A28" s="4" t="s">
        <v>62</v>
      </c>
      <c r="B28" s="4" t="s">
        <v>63</v>
      </c>
      <c r="C28" s="11" t="s">
        <v>124</v>
      </c>
      <c r="D28" s="12" t="str">
        <f t="shared" si="1"/>
        <v>Rhonda Jacobs</v>
      </c>
      <c r="E28" s="12" t="str">
        <f t="shared" si="2"/>
        <v>Rhonda Jacobs</v>
      </c>
      <c r="F28" s="12" t="str">
        <f t="shared" si="8"/>
        <v>Rhonda Jacobs</v>
      </c>
      <c r="G28" s="12"/>
      <c r="H28" s="12" t="str">
        <f>IF(Regatta="Yes",A28&amp;" "&amp;B28,"")</f>
        <v>Rhonda Jacobs</v>
      </c>
      <c r="I28" s="8">
        <v>68.400000000000006</v>
      </c>
      <c r="J28" s="8" t="s">
        <v>17</v>
      </c>
      <c r="K28" s="8" t="str">
        <f>VLOOKUP(D28,DoB!$A$1:$E$68,5,FALSE)</f>
        <v>C</v>
      </c>
      <c r="L28" s="4" t="str">
        <f t="shared" si="3"/>
        <v>F</v>
      </c>
      <c r="M28" s="56" t="s">
        <v>13</v>
      </c>
      <c r="N28" s="4" t="str">
        <f t="shared" si="5"/>
        <v xml:space="preserve"> </v>
      </c>
      <c r="O28" s="4" t="str">
        <f t="shared" si="6"/>
        <v>Yes</v>
      </c>
      <c r="P28" s="4">
        <f>COUNTIF('Regatta Seating'!$F$1:$H$49,D28)</f>
        <v>0</v>
      </c>
      <c r="Q28" s="4">
        <f>COUNTIF('Regatta Seating'!$G$1:$G$49,D28)</f>
        <v>0</v>
      </c>
      <c r="R28">
        <f t="shared" si="0"/>
        <v>0</v>
      </c>
    </row>
    <row r="29" spans="1:18">
      <c r="A29" s="4" t="s">
        <v>60</v>
      </c>
      <c r="B29" s="4" t="s">
        <v>61</v>
      </c>
      <c r="C29" s="11" t="s">
        <v>124</v>
      </c>
      <c r="D29" s="12" t="str">
        <f t="shared" si="1"/>
        <v>Ruth Gallant</v>
      </c>
      <c r="E29" s="12" t="str">
        <f t="shared" si="2"/>
        <v>Ruth Gallant</v>
      </c>
      <c r="F29" s="12" t="str">
        <f t="shared" si="8"/>
        <v>Ruth Gallant</v>
      </c>
      <c r="G29" s="12"/>
      <c r="H29" s="12" t="str">
        <f>IF(Regatta="Yes",A29&amp;" "&amp;B29,"")</f>
        <v>Ruth Gallant</v>
      </c>
      <c r="I29" s="8">
        <v>58</v>
      </c>
      <c r="J29" s="8" t="s">
        <v>175</v>
      </c>
      <c r="K29" s="8" t="str">
        <f>VLOOKUP(D29,DoB!$A$1:$E$68,5,FALSE)</f>
        <v>C</v>
      </c>
      <c r="L29" s="4" t="str">
        <f t="shared" si="3"/>
        <v>F</v>
      </c>
      <c r="M29" s="56" t="s">
        <v>13</v>
      </c>
      <c r="N29" s="4" t="str">
        <f t="shared" si="5"/>
        <v xml:space="preserve"> </v>
      </c>
      <c r="O29" s="4" t="str">
        <f t="shared" si="6"/>
        <v>Yes</v>
      </c>
      <c r="P29" s="4">
        <f>COUNTIF('Regatta Seating'!$F$1:$H$49,D29)</f>
        <v>0</v>
      </c>
      <c r="Q29" s="4">
        <f>COUNTIF('Regatta Seating'!$G$1:$G$49,D29)</f>
        <v>0</v>
      </c>
      <c r="R29">
        <f t="shared" si="0"/>
        <v>0</v>
      </c>
    </row>
    <row r="30" spans="1:18">
      <c r="A30" s="4" t="s">
        <v>225</v>
      </c>
      <c r="B30" s="4" t="s">
        <v>226</v>
      </c>
      <c r="C30" s="11" t="s">
        <v>124</v>
      </c>
      <c r="D30" s="12" t="str">
        <f t="shared" si="1"/>
        <v>Sharon Higgins</v>
      </c>
      <c r="E30" s="12" t="str">
        <f t="shared" si="2"/>
        <v>Sharon Higgins</v>
      </c>
      <c r="F30" s="12" t="str">
        <f t="shared" si="8"/>
        <v>Sharon Higgins</v>
      </c>
      <c r="G30" s="12"/>
      <c r="H30" s="12"/>
      <c r="I30" s="8">
        <v>55</v>
      </c>
      <c r="J30" s="8" t="s">
        <v>17</v>
      </c>
      <c r="K30" s="8" t="str">
        <f>VLOOKUP(D30,DoB!$A$1:$E$68,5,FALSE)</f>
        <v>C</v>
      </c>
      <c r="L30" s="4" t="str">
        <f t="shared" si="3"/>
        <v>F</v>
      </c>
      <c r="M30" s="56" t="s">
        <v>13</v>
      </c>
      <c r="N30" s="4" t="str">
        <f t="shared" si="5"/>
        <v xml:space="preserve"> </v>
      </c>
      <c r="O30" s="4" t="str">
        <f t="shared" si="6"/>
        <v>Yes</v>
      </c>
      <c r="P30" s="4">
        <f>COUNTIF('Regatta Seating'!$F$1:$H$49,D30)</f>
        <v>0</v>
      </c>
      <c r="Q30" s="4">
        <f>COUNTIF('Regatta Seating'!$G$1:$G$49,D30)</f>
        <v>0</v>
      </c>
      <c r="R30">
        <f t="shared" si="0"/>
        <v>0</v>
      </c>
    </row>
    <row r="31" spans="1:18">
      <c r="A31" s="4" t="s">
        <v>84</v>
      </c>
      <c r="B31" s="4" t="s">
        <v>85</v>
      </c>
      <c r="C31" s="11" t="s">
        <v>124</v>
      </c>
      <c r="D31" s="12" t="str">
        <f t="shared" si="1"/>
        <v>Solange Rossi</v>
      </c>
      <c r="E31" s="12" t="str">
        <f t="shared" si="2"/>
        <v>Solange Rossi</v>
      </c>
      <c r="F31" s="12" t="str">
        <f t="shared" si="8"/>
        <v>Solange Rossi</v>
      </c>
      <c r="G31" s="12"/>
      <c r="H31" s="12"/>
      <c r="I31" s="8">
        <v>85</v>
      </c>
      <c r="J31" s="8" t="s">
        <v>17</v>
      </c>
      <c r="K31" s="8" t="str">
        <f>VLOOKUP(D31,DoB!$A$1:$E$68,5,FALSE)</f>
        <v>C</v>
      </c>
      <c r="L31" s="4" t="str">
        <f t="shared" si="3"/>
        <v>F</v>
      </c>
      <c r="M31" s="56" t="s">
        <v>13</v>
      </c>
      <c r="N31" s="4" t="str">
        <f t="shared" si="5"/>
        <v xml:space="preserve"> </v>
      </c>
      <c r="O31" s="4" t="str">
        <f t="shared" si="6"/>
        <v>Yes</v>
      </c>
      <c r="P31" s="4">
        <f>COUNTIF('Regatta Seating'!$F$1:$H$49,D31)</f>
        <v>0</v>
      </c>
      <c r="Q31" s="4">
        <f>COUNTIF('Regatta Seating'!$G$1:$G$49,D31)</f>
        <v>0</v>
      </c>
      <c r="R31">
        <f t="shared" si="0"/>
        <v>0</v>
      </c>
    </row>
    <row r="32" spans="1:18">
      <c r="A32" s="4" t="s">
        <v>203</v>
      </c>
      <c r="B32" s="4" t="s">
        <v>204</v>
      </c>
      <c r="C32" s="11" t="s">
        <v>124</v>
      </c>
      <c r="D32" s="12" t="str">
        <f t="shared" si="1"/>
        <v>Sue Burdon-Jones</v>
      </c>
      <c r="E32" s="12" t="str">
        <f t="shared" si="2"/>
        <v>Sue Burdon-Jones</v>
      </c>
      <c r="F32" s="12" t="str">
        <f t="shared" si="8"/>
        <v>Sue Burdon-Jones</v>
      </c>
      <c r="G32" s="12"/>
      <c r="H32" s="12"/>
      <c r="I32" s="8">
        <v>65.5</v>
      </c>
      <c r="J32" s="8" t="s">
        <v>175</v>
      </c>
      <c r="K32" s="8" t="str">
        <f>VLOOKUP(D32,DoB!$A$1:$E$68,5,FALSE)</f>
        <v>C</v>
      </c>
      <c r="L32" s="4" t="str">
        <f t="shared" si="3"/>
        <v>F</v>
      </c>
      <c r="M32" s="56" t="s">
        <v>13</v>
      </c>
      <c r="N32" s="4" t="str">
        <f t="shared" si="5"/>
        <v xml:space="preserve"> </v>
      </c>
      <c r="O32" s="4" t="str">
        <f t="shared" si="6"/>
        <v>Yes</v>
      </c>
      <c r="P32" s="4">
        <f>COUNTIF('Regatta Seating'!$F$1:$H$49,D32)</f>
        <v>0</v>
      </c>
      <c r="Q32" s="4">
        <f>COUNTIF('Regatta Seating'!$G$1:$G$49,D32)</f>
        <v>0</v>
      </c>
      <c r="R32">
        <f t="shared" si="0"/>
        <v>0</v>
      </c>
    </row>
    <row r="33" spans="1:18">
      <c r="A33" s="4" t="s">
        <v>263</v>
      </c>
      <c r="B33" s="4" t="s">
        <v>264</v>
      </c>
      <c r="C33" s="11" t="s">
        <v>124</v>
      </c>
      <c r="D33" s="12" t="str">
        <f t="shared" si="1"/>
        <v>Teresa Pertzel</v>
      </c>
      <c r="E33" s="12" t="str">
        <f t="shared" si="2"/>
        <v>Teresa Pertzel</v>
      </c>
      <c r="F33" s="12" t="str">
        <f t="shared" si="8"/>
        <v>Teresa Pertzel</v>
      </c>
      <c r="G33" s="12"/>
      <c r="H33" s="12"/>
      <c r="I33" s="66">
        <v>100</v>
      </c>
      <c r="J33" s="8" t="s">
        <v>175</v>
      </c>
      <c r="K33" s="8" t="str">
        <f>VLOOKUP(D33,DoB!$A$1:$E$68,5,FALSE)</f>
        <v>C</v>
      </c>
      <c r="L33" s="4" t="str">
        <f t="shared" si="3"/>
        <v>F</v>
      </c>
      <c r="M33" s="56" t="s">
        <v>13</v>
      </c>
      <c r="N33" s="4" t="str">
        <f t="shared" si="5"/>
        <v xml:space="preserve"> </v>
      </c>
      <c r="O33" s="4" t="str">
        <f t="shared" si="6"/>
        <v>Yes</v>
      </c>
      <c r="P33" s="4">
        <f>COUNTIF('Regatta Seating'!$F$1:$H$49,D33)</f>
        <v>0</v>
      </c>
      <c r="Q33" s="4">
        <f>COUNTIF('Regatta Seating'!$G$1:$G$49,D33)</f>
        <v>0</v>
      </c>
      <c r="R33">
        <f t="shared" si="0"/>
        <v>0</v>
      </c>
    </row>
    <row r="34" spans="1:18">
      <c r="A34" s="4" t="s">
        <v>267</v>
      </c>
      <c r="B34" s="4" t="s">
        <v>43</v>
      </c>
      <c r="C34" s="11" t="s">
        <v>124</v>
      </c>
      <c r="D34" s="12" t="str">
        <f t="shared" si="1"/>
        <v>Therese Williams</v>
      </c>
      <c r="E34" s="12" t="str">
        <f t="shared" si="2"/>
        <v>Therese Williams</v>
      </c>
      <c r="F34" s="12" t="str">
        <f t="shared" si="8"/>
        <v>Therese Williams</v>
      </c>
      <c r="G34" s="12"/>
      <c r="H34" s="12"/>
      <c r="I34" s="66">
        <v>100</v>
      </c>
      <c r="J34" s="8" t="s">
        <v>175</v>
      </c>
      <c r="K34" s="8" t="str">
        <f>VLOOKUP(D34,DoB!$A$1:$E$68,5,FALSE)</f>
        <v>C</v>
      </c>
      <c r="L34" s="4" t="str">
        <f t="shared" si="3"/>
        <v>F</v>
      </c>
      <c r="M34" s="56" t="s">
        <v>13</v>
      </c>
      <c r="N34" s="4" t="str">
        <f t="shared" si="5"/>
        <v xml:space="preserve"> </v>
      </c>
      <c r="O34" s="4" t="str">
        <f t="shared" si="6"/>
        <v>Yes</v>
      </c>
      <c r="P34" s="4">
        <f>COUNTIF('Regatta Seating'!$F$1:$H$49,D34)</f>
        <v>0</v>
      </c>
      <c r="Q34" s="4">
        <f>COUNTIF('Regatta Seating'!$G$1:$G$49,D34)</f>
        <v>0</v>
      </c>
      <c r="R34">
        <f t="shared" ref="R34:R65" si="9">P34-Q34</f>
        <v>0</v>
      </c>
    </row>
    <row r="35" spans="1:18">
      <c r="A35" s="4" t="s">
        <v>38</v>
      </c>
      <c r="B35" s="4" t="s">
        <v>39</v>
      </c>
      <c r="C35" s="11" t="s">
        <v>124</v>
      </c>
      <c r="D35" s="12" t="str">
        <f t="shared" ref="D35:D66" si="10">A35&amp;" "&amp;B35</f>
        <v>Vicki Shannon</v>
      </c>
      <c r="E35" s="12" t="str">
        <f t="shared" ref="E35:E66" si="11">IF(Regatta="Yes",A35&amp;" "&amp;B35,"")</f>
        <v>Vicki Shannon</v>
      </c>
      <c r="F35" s="12" t="str">
        <f t="shared" si="8"/>
        <v>Vicki Shannon</v>
      </c>
      <c r="G35" s="12" t="str">
        <f>IF(Regatta="Yes",A35&amp;" "&amp;B35,"")</f>
        <v>Vicki Shannon</v>
      </c>
      <c r="H35" s="12" t="str">
        <f>IF(Regatta="Yes",A35&amp;" "&amp;B35,"")</f>
        <v>Vicki Shannon</v>
      </c>
      <c r="I35" s="8">
        <v>66.900000000000006</v>
      </c>
      <c r="J35" s="8" t="s">
        <v>16</v>
      </c>
      <c r="K35" s="8" t="str">
        <f>VLOOKUP(D35,DoB!$A$1:$E$68,5,FALSE)</f>
        <v>C</v>
      </c>
      <c r="L35" s="4" t="str">
        <f t="shared" ref="L35:L66" si="12">UPPER(LEFT(C35,1))</f>
        <v>F</v>
      </c>
      <c r="M35" s="56" t="s">
        <v>13</v>
      </c>
      <c r="N35" s="4" t="str">
        <f t="shared" si="5"/>
        <v xml:space="preserve"> </v>
      </c>
      <c r="O35" s="4" t="str">
        <f t="shared" si="6"/>
        <v>Yes</v>
      </c>
      <c r="P35" s="4">
        <f>COUNTIF('Regatta Seating'!$F$1:$H$49,D35)</f>
        <v>0</v>
      </c>
      <c r="Q35" s="4">
        <f>COUNTIF('Regatta Seating'!$G$1:$G$49,D35)</f>
        <v>0</v>
      </c>
      <c r="R35">
        <f t="shared" si="9"/>
        <v>0</v>
      </c>
    </row>
    <row r="36" spans="1:18">
      <c r="A36" s="4" t="s">
        <v>221</v>
      </c>
      <c r="B36" s="4" t="s">
        <v>222</v>
      </c>
      <c r="C36" s="11" t="s">
        <v>124</v>
      </c>
      <c r="D36" s="12" t="str">
        <f t="shared" si="10"/>
        <v>Vivienne Halat</v>
      </c>
      <c r="E36" s="12" t="str">
        <f t="shared" si="11"/>
        <v>Vivienne Halat</v>
      </c>
      <c r="F36" s="12" t="str">
        <f t="shared" si="8"/>
        <v>Vivienne Halat</v>
      </c>
      <c r="G36" s="12"/>
      <c r="H36" s="12"/>
      <c r="I36" s="8">
        <v>60</v>
      </c>
      <c r="J36" s="8" t="s">
        <v>17</v>
      </c>
      <c r="K36" s="8" t="str">
        <f>VLOOKUP(D36,DoB!$A$1:$E$68,5,FALSE)</f>
        <v>C</v>
      </c>
      <c r="L36" s="4" t="str">
        <f t="shared" si="12"/>
        <v>F</v>
      </c>
      <c r="M36" s="56" t="s">
        <v>13</v>
      </c>
      <c r="N36" s="4" t="str">
        <f t="shared" si="5"/>
        <v xml:space="preserve"> </v>
      </c>
      <c r="O36" s="4" t="str">
        <f t="shared" si="6"/>
        <v>Yes</v>
      </c>
      <c r="P36" s="4">
        <f>COUNTIF('Regatta Seating'!$F$1:$H$49,D36)</f>
        <v>1</v>
      </c>
      <c r="Q36" s="4">
        <f>COUNTIF('Regatta Seating'!$G$1:$G$49,D36)</f>
        <v>0</v>
      </c>
      <c r="R36">
        <f t="shared" si="9"/>
        <v>1</v>
      </c>
    </row>
    <row r="37" spans="1:18">
      <c r="A37" s="4" t="s">
        <v>34</v>
      </c>
      <c r="B37" s="4" t="s">
        <v>35</v>
      </c>
      <c r="C37" s="11" t="s">
        <v>124</v>
      </c>
      <c r="D37" s="12" t="str">
        <f t="shared" si="10"/>
        <v>Zonda Lynn</v>
      </c>
      <c r="E37" s="12" t="str">
        <f t="shared" si="11"/>
        <v>Zonda Lynn</v>
      </c>
      <c r="F37" s="12" t="str">
        <f t="shared" si="8"/>
        <v>Zonda Lynn</v>
      </c>
      <c r="G37" s="12"/>
      <c r="H37" s="12"/>
      <c r="I37" s="8">
        <v>90.6</v>
      </c>
      <c r="J37" s="8" t="s">
        <v>16</v>
      </c>
      <c r="K37" s="8" t="str">
        <f>VLOOKUP(D37,DoB!$A$1:$E$68,5,FALSE)</f>
        <v>C</v>
      </c>
      <c r="L37" s="4" t="str">
        <f t="shared" si="12"/>
        <v>F</v>
      </c>
      <c r="M37" s="56" t="s">
        <v>13</v>
      </c>
      <c r="N37" s="4" t="str">
        <f t="shared" si="5"/>
        <v xml:space="preserve"> </v>
      </c>
      <c r="O37" s="4" t="str">
        <f t="shared" si="6"/>
        <v>Yes</v>
      </c>
      <c r="P37" s="4">
        <f>COUNTIF('Regatta Seating'!$F$1:$H$49,D37)</f>
        <v>0</v>
      </c>
      <c r="Q37" s="4">
        <f>COUNTIF('Regatta Seating'!$G$1:$G$49,D37)</f>
        <v>0</v>
      </c>
      <c r="R37">
        <f t="shared" si="9"/>
        <v>0</v>
      </c>
    </row>
    <row r="38" spans="1:18">
      <c r="A38" s="4" t="s">
        <v>55</v>
      </c>
      <c r="B38" s="4" t="s">
        <v>56</v>
      </c>
      <c r="C38" s="11" t="s">
        <v>123</v>
      </c>
      <c r="D38" s="12" t="str">
        <f t="shared" si="10"/>
        <v>Adrian Stephens</v>
      </c>
      <c r="E38" s="12" t="str">
        <f t="shared" si="11"/>
        <v>Adrian Stephens</v>
      </c>
      <c r="F38" s="12"/>
      <c r="G38" s="12"/>
      <c r="H38" s="12"/>
      <c r="I38" s="8">
        <v>97.3</v>
      </c>
      <c r="J38" s="8" t="s">
        <v>16</v>
      </c>
      <c r="K38" s="8" t="str">
        <f>VLOOKUP(D38,DoB!$A$1:$E$68,5,FALSE)</f>
        <v>C</v>
      </c>
      <c r="L38" s="4" t="str">
        <f t="shared" si="12"/>
        <v>M</v>
      </c>
      <c r="M38" s="56" t="s">
        <v>13</v>
      </c>
      <c r="N38" s="4" t="str">
        <f t="shared" si="5"/>
        <v>Yes</v>
      </c>
      <c r="O38" s="4" t="str">
        <f t="shared" si="6"/>
        <v xml:space="preserve"> </v>
      </c>
      <c r="P38" s="4">
        <f>COUNTIF('Regatta Seating'!$F$1:$H$49,D38)</f>
        <v>0</v>
      </c>
      <c r="Q38" s="4">
        <f>COUNTIF('Regatta Seating'!$G$1:$G$49,D38)</f>
        <v>0</v>
      </c>
      <c r="R38">
        <f t="shared" si="9"/>
        <v>0</v>
      </c>
    </row>
    <row r="39" spans="1:18">
      <c r="A39" s="4" t="s">
        <v>238</v>
      </c>
      <c r="B39" s="4" t="s">
        <v>239</v>
      </c>
      <c r="C39" s="11" t="s">
        <v>123</v>
      </c>
      <c r="D39" s="12" t="str">
        <f t="shared" si="10"/>
        <v>Alex Ang</v>
      </c>
      <c r="E39" s="12" t="str">
        <f t="shared" si="11"/>
        <v>Alex Ang</v>
      </c>
      <c r="F39" s="12" t="str">
        <f t="shared" ref="F39:F44" si="13">IF(Regatta="Yes",A39&amp;" "&amp;B39,"")</f>
        <v>Alex Ang</v>
      </c>
      <c r="G39" s="12"/>
      <c r="H39" s="12"/>
      <c r="I39" s="66">
        <v>100</v>
      </c>
      <c r="J39" s="8" t="s">
        <v>175</v>
      </c>
      <c r="K39" s="8" t="str">
        <f>VLOOKUP(D39,DoB!$A$1:$E$68,5,FALSE)</f>
        <v>C</v>
      </c>
      <c r="L39" s="4" t="str">
        <f t="shared" si="12"/>
        <v>M</v>
      </c>
      <c r="M39" s="56" t="s">
        <v>13</v>
      </c>
      <c r="N39" s="4" t="str">
        <f t="shared" si="5"/>
        <v>Yes</v>
      </c>
      <c r="O39" s="4" t="str">
        <f t="shared" si="6"/>
        <v xml:space="preserve"> </v>
      </c>
      <c r="P39" s="4">
        <f>COUNTIF('Regatta Seating'!$F$1:$H$49,D39)</f>
        <v>0</v>
      </c>
      <c r="Q39" s="4">
        <f>COUNTIF('Regatta Seating'!$G$1:$G$49,D39)</f>
        <v>0</v>
      </c>
      <c r="R39">
        <f t="shared" si="9"/>
        <v>0</v>
      </c>
    </row>
    <row r="40" spans="1:18">
      <c r="A40" s="4" t="s">
        <v>244</v>
      </c>
      <c r="B40" s="4" t="s">
        <v>245</v>
      </c>
      <c r="C40" s="11" t="s">
        <v>123</v>
      </c>
      <c r="D40" s="12" t="str">
        <f t="shared" si="10"/>
        <v>Alan Blackman</v>
      </c>
      <c r="E40" s="12" t="str">
        <f t="shared" si="11"/>
        <v>Alan Blackman</v>
      </c>
      <c r="F40" s="12" t="str">
        <f t="shared" si="13"/>
        <v>Alan Blackman</v>
      </c>
      <c r="G40" s="12"/>
      <c r="H40" s="12"/>
      <c r="I40" s="66">
        <v>100</v>
      </c>
      <c r="J40" s="8" t="s">
        <v>175</v>
      </c>
      <c r="K40" s="8" t="str">
        <f>VLOOKUP(D40,DoB!$A$1:$E$68,5,FALSE)</f>
        <v>C</v>
      </c>
      <c r="L40" s="4" t="str">
        <f t="shared" si="12"/>
        <v>M</v>
      </c>
      <c r="M40" s="56" t="s">
        <v>13</v>
      </c>
      <c r="N40" s="4" t="str">
        <f t="shared" si="5"/>
        <v>Yes</v>
      </c>
      <c r="O40" s="4" t="str">
        <f t="shared" si="6"/>
        <v xml:space="preserve"> </v>
      </c>
      <c r="P40" s="4">
        <f>COUNTIF('Regatta Seating'!$F$1:$H$49,D40)</f>
        <v>0</v>
      </c>
      <c r="Q40" s="4">
        <f>COUNTIF('Regatta Seating'!$G$1:$G$49,D40)</f>
        <v>0</v>
      </c>
      <c r="R40">
        <f t="shared" si="9"/>
        <v>0</v>
      </c>
    </row>
    <row r="41" spans="1:18">
      <c r="A41" s="4" t="s">
        <v>205</v>
      </c>
      <c r="B41" s="4" t="s">
        <v>206</v>
      </c>
      <c r="C41" s="11" t="s">
        <v>123</v>
      </c>
      <c r="D41" s="12" t="str">
        <f t="shared" si="10"/>
        <v>Ben Goldman</v>
      </c>
      <c r="E41" s="12" t="str">
        <f t="shared" si="11"/>
        <v>Ben Goldman</v>
      </c>
      <c r="F41" s="12" t="str">
        <f t="shared" si="13"/>
        <v>Ben Goldman</v>
      </c>
      <c r="G41" s="12"/>
      <c r="H41" s="12"/>
      <c r="I41" s="8">
        <v>81.900000000000006</v>
      </c>
      <c r="J41" s="8" t="s">
        <v>17</v>
      </c>
      <c r="K41" s="8" t="str">
        <f>VLOOKUP(D41,DoB!$A$1:$E$68,5,FALSE)</f>
        <v>C</v>
      </c>
      <c r="L41" s="4" t="str">
        <f t="shared" si="12"/>
        <v>M</v>
      </c>
      <c r="M41" s="56" t="s">
        <v>13</v>
      </c>
      <c r="N41" s="4" t="str">
        <f t="shared" si="5"/>
        <v>Yes</v>
      </c>
      <c r="O41" s="4" t="str">
        <f t="shared" si="6"/>
        <v xml:space="preserve"> </v>
      </c>
      <c r="P41" s="4">
        <f>COUNTIF('Regatta Seating'!$F$1:$H$49,D41)</f>
        <v>0</v>
      </c>
      <c r="Q41" s="4">
        <f>COUNTIF('Regatta Seating'!$G$1:$G$49,D41)</f>
        <v>0</v>
      </c>
      <c r="R41">
        <f t="shared" si="9"/>
        <v>0</v>
      </c>
    </row>
    <row r="42" spans="1:18">
      <c r="A42" s="4" t="s">
        <v>50</v>
      </c>
      <c r="B42" s="4" t="s">
        <v>261</v>
      </c>
      <c r="C42" s="11" t="s">
        <v>123</v>
      </c>
      <c r="D42" s="12" t="str">
        <f t="shared" si="10"/>
        <v>David McLatchie</v>
      </c>
      <c r="E42" s="12" t="str">
        <f t="shared" si="11"/>
        <v>David McLatchie</v>
      </c>
      <c r="F42" s="12" t="str">
        <f t="shared" si="13"/>
        <v>David McLatchie</v>
      </c>
      <c r="G42" s="12"/>
      <c r="H42" s="12"/>
      <c r="I42" s="66">
        <v>100</v>
      </c>
      <c r="J42" s="8" t="s">
        <v>175</v>
      </c>
      <c r="K42" s="8" t="str">
        <f>VLOOKUP(D42,DoB!$A$1:$E$68,5,FALSE)</f>
        <v>C</v>
      </c>
      <c r="L42" s="4" t="str">
        <f t="shared" si="12"/>
        <v>M</v>
      </c>
      <c r="M42" s="56" t="s">
        <v>13</v>
      </c>
      <c r="N42" s="4" t="str">
        <f t="shared" si="5"/>
        <v>Yes</v>
      </c>
      <c r="O42" s="4" t="str">
        <f t="shared" si="6"/>
        <v xml:space="preserve"> </v>
      </c>
      <c r="P42" s="4">
        <f>COUNTIF('Regatta Seating'!$F$1:$H$49,D42)</f>
        <v>0</v>
      </c>
      <c r="Q42" s="4">
        <f>COUNTIF('Regatta Seating'!$G$1:$G$49,D42)</f>
        <v>0</v>
      </c>
      <c r="R42">
        <f t="shared" si="9"/>
        <v>0</v>
      </c>
    </row>
    <row r="43" spans="1:18">
      <c r="A43" s="4" t="s">
        <v>50</v>
      </c>
      <c r="B43" s="4" t="s">
        <v>51</v>
      </c>
      <c r="C43" s="11" t="s">
        <v>123</v>
      </c>
      <c r="D43" s="12" t="str">
        <f t="shared" si="10"/>
        <v>David Nairn</v>
      </c>
      <c r="E43" s="12" t="str">
        <f t="shared" si="11"/>
        <v>David Nairn</v>
      </c>
      <c r="F43" s="12" t="str">
        <f t="shared" si="13"/>
        <v>David Nairn</v>
      </c>
      <c r="G43" s="12" t="str">
        <f>IF(Regatta="Yes",A43&amp;" "&amp;B43,"")</f>
        <v>David Nairn</v>
      </c>
      <c r="H43" s="12"/>
      <c r="I43" s="8">
        <v>82.8</v>
      </c>
      <c r="J43" s="8" t="s">
        <v>17</v>
      </c>
      <c r="K43" s="8" t="str">
        <f>VLOOKUP(D43,DoB!$A$1:$E$68,5,FALSE)</f>
        <v>C</v>
      </c>
      <c r="L43" s="4" t="str">
        <f t="shared" si="12"/>
        <v>M</v>
      </c>
      <c r="M43" s="56" t="s">
        <v>13</v>
      </c>
      <c r="N43" s="4" t="str">
        <f t="shared" si="5"/>
        <v>Yes</v>
      </c>
      <c r="O43" s="4" t="str">
        <f t="shared" si="6"/>
        <v xml:space="preserve"> </v>
      </c>
      <c r="P43" s="4">
        <f>COUNTIF('Regatta Seating'!$F$1:$H$49,D43)</f>
        <v>0</v>
      </c>
      <c r="Q43" s="4">
        <f>COUNTIF('Regatta Seating'!$G$1:$G$49,D43)</f>
        <v>0</v>
      </c>
      <c r="R43">
        <f t="shared" si="9"/>
        <v>0</v>
      </c>
    </row>
    <row r="44" spans="1:18">
      <c r="A44" s="4" t="s">
        <v>57</v>
      </c>
      <c r="B44" s="4" t="s">
        <v>58</v>
      </c>
      <c r="C44" s="11" t="s">
        <v>123</v>
      </c>
      <c r="D44" s="12" t="str">
        <f t="shared" si="10"/>
        <v>Gordon Tribbick</v>
      </c>
      <c r="E44" s="12" t="str">
        <f t="shared" si="11"/>
        <v>Gordon Tribbick</v>
      </c>
      <c r="F44" s="12" t="str">
        <f t="shared" si="13"/>
        <v>Gordon Tribbick</v>
      </c>
      <c r="G44" s="12"/>
      <c r="H44" s="12"/>
      <c r="I44" s="8">
        <v>80</v>
      </c>
      <c r="J44" s="8" t="s">
        <v>17</v>
      </c>
      <c r="K44" s="8" t="str">
        <f>VLOOKUP(D44,DoB!$A$1:$E$68,5,FALSE)</f>
        <v>C</v>
      </c>
      <c r="L44" s="4" t="str">
        <f t="shared" si="12"/>
        <v>M</v>
      </c>
      <c r="M44" s="56" t="s">
        <v>13</v>
      </c>
      <c r="N44" s="4" t="str">
        <f t="shared" si="5"/>
        <v>Yes</v>
      </c>
      <c r="O44" s="4" t="str">
        <f t="shared" si="6"/>
        <v xml:space="preserve"> </v>
      </c>
      <c r="P44" s="4">
        <f>COUNTIF('Regatta Seating'!$F$1:$H$49,D44)</f>
        <v>0</v>
      </c>
      <c r="Q44" s="4">
        <f>COUNTIF('Regatta Seating'!$G$1:$G$49,D44)</f>
        <v>0</v>
      </c>
      <c r="R44">
        <f t="shared" si="9"/>
        <v>0</v>
      </c>
    </row>
    <row r="45" spans="1:18">
      <c r="A45" s="4" t="s">
        <v>119</v>
      </c>
      <c r="B45" s="4" t="s">
        <v>120</v>
      </c>
      <c r="C45" s="11" t="s">
        <v>123</v>
      </c>
      <c r="D45" s="12" t="str">
        <f t="shared" si="10"/>
        <v>Ian Norman</v>
      </c>
      <c r="E45" s="12" t="str">
        <f t="shared" si="11"/>
        <v>Ian Norman</v>
      </c>
      <c r="F45" s="12"/>
      <c r="G45" s="12" t="str">
        <f>IF(Regatta="Yes",A45&amp;" "&amp;B45,"")</f>
        <v>Ian Norman</v>
      </c>
      <c r="H45" s="12"/>
      <c r="I45" s="8"/>
      <c r="J45" s="8" t="s">
        <v>17</v>
      </c>
      <c r="K45" s="8" t="str">
        <f>VLOOKUP(D45,DoB!$A$1:$E$68,5,FALSE)</f>
        <v>C</v>
      </c>
      <c r="L45" s="4" t="str">
        <f t="shared" si="12"/>
        <v>M</v>
      </c>
      <c r="M45" s="56" t="s">
        <v>13</v>
      </c>
      <c r="N45" s="4" t="str">
        <f t="shared" si="5"/>
        <v>Yes</v>
      </c>
      <c r="O45" s="4" t="str">
        <f t="shared" si="6"/>
        <v xml:space="preserve"> </v>
      </c>
      <c r="P45" s="4">
        <f>COUNTIF('Regatta Seating'!$F$1:$H$49,D45)</f>
        <v>0</v>
      </c>
      <c r="Q45" s="4">
        <f>COUNTIF('Regatta Seating'!$G$1:$G$49,D45)</f>
        <v>0</v>
      </c>
      <c r="R45">
        <f t="shared" si="9"/>
        <v>0</v>
      </c>
    </row>
    <row r="46" spans="1:18">
      <c r="A46" s="4" t="s">
        <v>71</v>
      </c>
      <c r="B46" s="4" t="s">
        <v>72</v>
      </c>
      <c r="C46" s="11" t="s">
        <v>123</v>
      </c>
      <c r="D46" s="12" t="str">
        <f t="shared" si="10"/>
        <v>Jeff Saunders</v>
      </c>
      <c r="E46" s="12" t="str">
        <f t="shared" si="11"/>
        <v>Jeff Saunders</v>
      </c>
      <c r="F46" s="12" t="str">
        <f t="shared" ref="F46:F66" si="14">IF(Regatta="Yes",A46&amp;" "&amp;B46,"")</f>
        <v>Jeff Saunders</v>
      </c>
      <c r="G46" s="12" t="str">
        <f>IF(Regatta="Yes",A46&amp;" "&amp;B46,"")</f>
        <v>Jeff Saunders</v>
      </c>
      <c r="H46" s="12" t="str">
        <f>IF(Regatta="Yes",A46&amp;" "&amp;B46,"")</f>
        <v>Jeff Saunders</v>
      </c>
      <c r="I46" s="8">
        <v>70</v>
      </c>
      <c r="J46" s="8" t="s">
        <v>175</v>
      </c>
      <c r="K46" s="8" t="str">
        <f>VLOOKUP(D46,DoB!$A$1:$E$68,5,FALSE)</f>
        <v>C</v>
      </c>
      <c r="L46" s="4" t="str">
        <f t="shared" si="12"/>
        <v>M</v>
      </c>
      <c r="M46" s="56" t="s">
        <v>13</v>
      </c>
      <c r="N46" s="4" t="str">
        <f t="shared" si="5"/>
        <v>Yes</v>
      </c>
      <c r="O46" s="4" t="str">
        <f t="shared" si="6"/>
        <v xml:space="preserve"> </v>
      </c>
      <c r="P46" s="4">
        <f>COUNTIF('Regatta Seating'!$F$1:$H$49,D46)</f>
        <v>0</v>
      </c>
      <c r="Q46" s="4">
        <f>COUNTIF('Regatta Seating'!$G$1:$G$49,D46)</f>
        <v>0</v>
      </c>
      <c r="R46">
        <f t="shared" si="9"/>
        <v>0</v>
      </c>
    </row>
    <row r="47" spans="1:18">
      <c r="A47" s="4" t="s">
        <v>258</v>
      </c>
      <c r="B47" s="4" t="s">
        <v>259</v>
      </c>
      <c r="C47" s="11" t="s">
        <v>123</v>
      </c>
      <c r="D47" s="12" t="str">
        <f t="shared" si="10"/>
        <v>Jit Lim</v>
      </c>
      <c r="E47" s="12" t="str">
        <f t="shared" si="11"/>
        <v>Jit Lim</v>
      </c>
      <c r="F47" s="12" t="str">
        <f t="shared" si="14"/>
        <v>Jit Lim</v>
      </c>
      <c r="G47" s="12"/>
      <c r="H47" s="12"/>
      <c r="I47" s="66">
        <v>100</v>
      </c>
      <c r="J47" s="8" t="s">
        <v>175</v>
      </c>
      <c r="K47" s="8" t="str">
        <f>VLOOKUP(D47,DoB!$A$1:$E$68,5,FALSE)</f>
        <v>C</v>
      </c>
      <c r="L47" s="4" t="str">
        <f t="shared" si="12"/>
        <v>M</v>
      </c>
      <c r="M47" s="56" t="s">
        <v>13</v>
      </c>
      <c r="N47" s="4" t="str">
        <f t="shared" si="5"/>
        <v>Yes</v>
      </c>
      <c r="O47" s="4" t="str">
        <f t="shared" si="6"/>
        <v xml:space="preserve"> </v>
      </c>
      <c r="P47" s="4">
        <f>COUNTIF('Regatta Seating'!$F$1:$H$49,D47)</f>
        <v>0</v>
      </c>
      <c r="Q47" s="4">
        <f>COUNTIF('Regatta Seating'!$G$1:$G$49,D47)</f>
        <v>0</v>
      </c>
      <c r="R47">
        <f t="shared" si="9"/>
        <v>0</v>
      </c>
    </row>
    <row r="48" spans="1:18">
      <c r="A48" s="4" t="s">
        <v>46</v>
      </c>
      <c r="B48" s="4" t="s">
        <v>47</v>
      </c>
      <c r="C48" s="11" t="s">
        <v>123</v>
      </c>
      <c r="D48" s="12" t="str">
        <f t="shared" si="10"/>
        <v>Joe Gomory</v>
      </c>
      <c r="E48" s="12" t="str">
        <f t="shared" si="11"/>
        <v>Joe Gomory</v>
      </c>
      <c r="F48" s="12" t="str">
        <f t="shared" si="14"/>
        <v>Joe Gomory</v>
      </c>
      <c r="G48" s="12"/>
      <c r="H48" s="12"/>
      <c r="I48" s="8"/>
      <c r="J48" s="8" t="s">
        <v>17</v>
      </c>
      <c r="K48" s="8" t="str">
        <f>VLOOKUP(D48,DoB!$A$1:$E$68,5,FALSE)</f>
        <v>C</v>
      </c>
      <c r="L48" s="4" t="str">
        <f t="shared" si="12"/>
        <v>M</v>
      </c>
      <c r="M48" s="56" t="s">
        <v>13</v>
      </c>
      <c r="N48" s="4" t="str">
        <f t="shared" si="5"/>
        <v>Yes</v>
      </c>
      <c r="O48" s="4" t="str">
        <f t="shared" si="6"/>
        <v xml:space="preserve"> </v>
      </c>
      <c r="P48" s="4">
        <f>COUNTIF('Regatta Seating'!$F$1:$H$49,D48)</f>
        <v>0</v>
      </c>
      <c r="Q48" s="4">
        <f>COUNTIF('Regatta Seating'!$G$1:$G$49,D48)</f>
        <v>0</v>
      </c>
      <c r="R48">
        <f t="shared" si="9"/>
        <v>0</v>
      </c>
    </row>
    <row r="49" spans="1:18">
      <c r="A49" s="4" t="s">
        <v>69</v>
      </c>
      <c r="B49" s="4" t="s">
        <v>232</v>
      </c>
      <c r="C49" s="11" t="s">
        <v>123</v>
      </c>
      <c r="D49" s="12" t="str">
        <f t="shared" si="10"/>
        <v>John Moffat</v>
      </c>
      <c r="E49" s="12" t="str">
        <f t="shared" si="11"/>
        <v>John Moffat</v>
      </c>
      <c r="F49" s="12" t="str">
        <f t="shared" si="14"/>
        <v>John Moffat</v>
      </c>
      <c r="G49" s="53"/>
      <c r="H49" s="53"/>
      <c r="I49" s="8">
        <v>112</v>
      </c>
      <c r="J49" s="8" t="s">
        <v>17</v>
      </c>
      <c r="K49" s="8" t="str">
        <f>VLOOKUP(D49,DoB!$A$1:$E$68,5,FALSE)</f>
        <v>B</v>
      </c>
      <c r="L49" s="4" t="str">
        <f t="shared" si="12"/>
        <v>M</v>
      </c>
      <c r="M49" s="56" t="s">
        <v>13</v>
      </c>
      <c r="N49" s="4" t="str">
        <f t="shared" si="5"/>
        <v>Yes</v>
      </c>
      <c r="O49" s="4" t="str">
        <f t="shared" si="6"/>
        <v xml:space="preserve"> </v>
      </c>
      <c r="P49" s="4">
        <f>COUNTIF('Regatta Seating'!$F$1:$H$49,D49)</f>
        <v>0</v>
      </c>
      <c r="Q49" s="4">
        <f>COUNTIF('Regatta Seating'!$G$1:$G$49,D49)</f>
        <v>0</v>
      </c>
      <c r="R49">
        <f t="shared" si="9"/>
        <v>0</v>
      </c>
    </row>
    <row r="50" spans="1:18">
      <c r="A50" s="4" t="s">
        <v>69</v>
      </c>
      <c r="B50" s="4" t="s">
        <v>70</v>
      </c>
      <c r="C50" s="11" t="s">
        <v>123</v>
      </c>
      <c r="D50" s="12" t="str">
        <f t="shared" si="10"/>
        <v>John Robinson</v>
      </c>
      <c r="E50" s="12" t="str">
        <f t="shared" si="11"/>
        <v>John Robinson</v>
      </c>
      <c r="F50" s="12" t="str">
        <f t="shared" si="14"/>
        <v>John Robinson</v>
      </c>
      <c r="G50" s="12"/>
      <c r="H50" s="12"/>
      <c r="I50" s="8">
        <v>76.7</v>
      </c>
      <c r="J50" s="8" t="s">
        <v>16</v>
      </c>
      <c r="K50" s="8" t="str">
        <f>VLOOKUP(D50,DoB!$A$1:$E$68,5,FALSE)</f>
        <v>C</v>
      </c>
      <c r="L50" s="4" t="str">
        <f t="shared" si="12"/>
        <v>M</v>
      </c>
      <c r="M50" s="56" t="s">
        <v>13</v>
      </c>
      <c r="N50" s="4" t="str">
        <f t="shared" si="5"/>
        <v>Yes</v>
      </c>
      <c r="O50" s="4" t="str">
        <f t="shared" si="6"/>
        <v xml:space="preserve"> </v>
      </c>
      <c r="P50" s="4">
        <f>COUNTIF('Regatta Seating'!$F$1:$H$49,D50)</f>
        <v>0</v>
      </c>
      <c r="Q50" s="4">
        <f>COUNTIF('Regatta Seating'!$G$1:$G$49,D50)</f>
        <v>0</v>
      </c>
      <c r="R50">
        <f t="shared" si="9"/>
        <v>0</v>
      </c>
    </row>
    <row r="51" spans="1:18">
      <c r="A51" s="4" t="s">
        <v>207</v>
      </c>
      <c r="B51" s="4" t="s">
        <v>208</v>
      </c>
      <c r="C51" s="11" t="s">
        <v>123</v>
      </c>
      <c r="D51" s="12" t="str">
        <f t="shared" si="10"/>
        <v>Kamal Baidawi</v>
      </c>
      <c r="E51" s="12" t="str">
        <f t="shared" si="11"/>
        <v>Kamal Baidawi</v>
      </c>
      <c r="F51" s="12" t="str">
        <f t="shared" si="14"/>
        <v>Kamal Baidawi</v>
      </c>
      <c r="G51" s="12"/>
      <c r="H51" s="12"/>
      <c r="I51" s="8">
        <v>80.5</v>
      </c>
      <c r="J51" s="8" t="s">
        <v>175</v>
      </c>
      <c r="K51" s="8" t="str">
        <f>VLOOKUP(D51,DoB!$A$1:$E$68,5,FALSE)</f>
        <v>C</v>
      </c>
      <c r="L51" s="4" t="str">
        <f t="shared" si="12"/>
        <v>M</v>
      </c>
      <c r="M51" s="56" t="s">
        <v>13</v>
      </c>
      <c r="N51" s="4" t="str">
        <f t="shared" si="5"/>
        <v>Yes</v>
      </c>
      <c r="O51" s="4" t="str">
        <f t="shared" si="6"/>
        <v xml:space="preserve"> </v>
      </c>
      <c r="P51" s="4">
        <f>COUNTIF('Regatta Seating'!$F$1:$H$49,D51)</f>
        <v>0</v>
      </c>
      <c r="Q51" s="4">
        <f>COUNTIF('Regatta Seating'!$G$1:$G$49,D51)</f>
        <v>0</v>
      </c>
      <c r="R51">
        <f t="shared" si="9"/>
        <v>0</v>
      </c>
    </row>
    <row r="52" spans="1:18">
      <c r="A52" s="4" t="s">
        <v>73</v>
      </c>
      <c r="B52" s="4" t="s">
        <v>196</v>
      </c>
      <c r="C52" s="11" t="s">
        <v>123</v>
      </c>
      <c r="D52" s="12" t="str">
        <f t="shared" si="10"/>
        <v>Mark Hammond</v>
      </c>
      <c r="E52" s="12" t="str">
        <f t="shared" si="11"/>
        <v>Mark Hammond</v>
      </c>
      <c r="F52" s="12" t="str">
        <f t="shared" si="14"/>
        <v>Mark Hammond</v>
      </c>
      <c r="G52" s="12"/>
      <c r="H52" s="12"/>
      <c r="I52" s="8"/>
      <c r="J52" s="8" t="s">
        <v>17</v>
      </c>
      <c r="K52" s="8" t="str">
        <f>VLOOKUP(D52,DoB!$A$1:$E$68,5,FALSE)</f>
        <v>B</v>
      </c>
      <c r="L52" s="4" t="str">
        <f t="shared" si="12"/>
        <v>M</v>
      </c>
      <c r="M52" s="56" t="s">
        <v>13</v>
      </c>
      <c r="N52" s="4" t="str">
        <f t="shared" si="5"/>
        <v>Yes</v>
      </c>
      <c r="O52" s="4" t="str">
        <f t="shared" si="6"/>
        <v xml:space="preserve"> </v>
      </c>
      <c r="P52" s="4">
        <f>COUNTIF('Regatta Seating'!$F$1:$H$49,D52)</f>
        <v>0</v>
      </c>
      <c r="Q52" s="4">
        <f>COUNTIF('Regatta Seating'!$G$1:$G$49,D52)</f>
        <v>0</v>
      </c>
      <c r="R52">
        <f t="shared" si="9"/>
        <v>0</v>
      </c>
    </row>
    <row r="53" spans="1:18">
      <c r="A53" s="4" t="s">
        <v>73</v>
      </c>
      <c r="B53" s="4" t="s">
        <v>211</v>
      </c>
      <c r="C53" s="11" t="s">
        <v>123</v>
      </c>
      <c r="D53" s="12" t="str">
        <f t="shared" si="10"/>
        <v>Mark van Tatenhove</v>
      </c>
      <c r="E53" s="12" t="str">
        <f t="shared" si="11"/>
        <v>Mark van Tatenhove</v>
      </c>
      <c r="F53" s="12" t="str">
        <f t="shared" si="14"/>
        <v>Mark van Tatenhove</v>
      </c>
      <c r="G53" s="12"/>
      <c r="H53" s="12"/>
      <c r="I53" s="8">
        <v>91</v>
      </c>
      <c r="J53" s="8" t="s">
        <v>16</v>
      </c>
      <c r="K53" s="8" t="s">
        <v>237</v>
      </c>
      <c r="L53" s="4" t="str">
        <f t="shared" si="12"/>
        <v>M</v>
      </c>
      <c r="M53" s="56" t="s">
        <v>13</v>
      </c>
      <c r="N53" s="4" t="str">
        <f t="shared" si="5"/>
        <v>Yes</v>
      </c>
      <c r="O53" s="4" t="str">
        <f t="shared" si="6"/>
        <v xml:space="preserve"> </v>
      </c>
      <c r="P53" s="4">
        <f>COUNTIF('Regatta Seating'!$F$1:$H$49,D53)</f>
        <v>0</v>
      </c>
      <c r="Q53" s="4">
        <f>COUNTIF('Regatta Seating'!$G$1:$G$49,D53)</f>
        <v>0</v>
      </c>
      <c r="R53">
        <f t="shared" si="9"/>
        <v>0</v>
      </c>
    </row>
    <row r="54" spans="1:18">
      <c r="A54" s="4" t="s">
        <v>73</v>
      </c>
      <c r="B54" s="4" t="s">
        <v>74</v>
      </c>
      <c r="C54" s="11" t="s">
        <v>123</v>
      </c>
      <c r="D54" s="12" t="str">
        <f t="shared" si="10"/>
        <v>Mark Wood</v>
      </c>
      <c r="E54" s="12" t="str">
        <f t="shared" si="11"/>
        <v>Mark Wood</v>
      </c>
      <c r="F54" s="12" t="str">
        <f t="shared" si="14"/>
        <v>Mark Wood</v>
      </c>
      <c r="G54" s="12"/>
      <c r="H54" s="12"/>
      <c r="I54" s="8">
        <v>70</v>
      </c>
      <c r="J54" s="8" t="s">
        <v>17</v>
      </c>
      <c r="K54" s="8" t="str">
        <f>VLOOKUP(D54,DoB!$A$1:$E$68,5,FALSE)</f>
        <v>C</v>
      </c>
      <c r="L54" s="4" t="str">
        <f t="shared" si="12"/>
        <v>M</v>
      </c>
      <c r="M54" s="56" t="s">
        <v>13</v>
      </c>
      <c r="N54" s="4" t="str">
        <f t="shared" si="5"/>
        <v>Yes</v>
      </c>
      <c r="O54" s="4" t="str">
        <f t="shared" si="6"/>
        <v xml:space="preserve"> </v>
      </c>
      <c r="P54" s="4">
        <f>COUNTIF('Regatta Seating'!$F$1:$H$49,D54)</f>
        <v>0</v>
      </c>
      <c r="Q54" s="4">
        <f>COUNTIF('Regatta Seating'!$G$1:$G$49,D54)</f>
        <v>0</v>
      </c>
      <c r="R54">
        <f t="shared" si="9"/>
        <v>0</v>
      </c>
    </row>
    <row r="55" spans="1:18">
      <c r="A55" s="4" t="s">
        <v>48</v>
      </c>
      <c r="B55" s="4" t="s">
        <v>49</v>
      </c>
      <c r="C55" s="11" t="s">
        <v>123</v>
      </c>
      <c r="D55" s="12" t="str">
        <f t="shared" si="10"/>
        <v>Mike Lee</v>
      </c>
      <c r="E55" s="12" t="str">
        <f t="shared" si="11"/>
        <v>Mike Lee</v>
      </c>
      <c r="F55" s="12" t="str">
        <f t="shared" si="14"/>
        <v>Mike Lee</v>
      </c>
      <c r="G55" s="12"/>
      <c r="H55" s="12"/>
      <c r="I55" s="8">
        <v>115</v>
      </c>
      <c r="J55" s="8" t="s">
        <v>17</v>
      </c>
      <c r="K55" s="8" t="str">
        <f>VLOOKUP(D55,DoB!$A$1:$E$68,5,FALSE)</f>
        <v>B</v>
      </c>
      <c r="L55" s="4" t="str">
        <f t="shared" si="12"/>
        <v>M</v>
      </c>
      <c r="M55" s="56" t="s">
        <v>13</v>
      </c>
      <c r="N55" s="4" t="str">
        <f t="shared" si="5"/>
        <v>Yes</v>
      </c>
      <c r="O55" s="4" t="str">
        <f t="shared" si="6"/>
        <v xml:space="preserve"> </v>
      </c>
      <c r="P55" s="4">
        <f>COUNTIF('Regatta Seating'!$F$1:$H$49,D55)</f>
        <v>1</v>
      </c>
      <c r="Q55" s="4">
        <f>COUNTIF('Regatta Seating'!$G$1:$G$49,D55)</f>
        <v>0</v>
      </c>
      <c r="R55">
        <f t="shared" si="9"/>
        <v>1</v>
      </c>
    </row>
    <row r="56" spans="1:18">
      <c r="A56" s="4" t="s">
        <v>48</v>
      </c>
      <c r="B56" s="4" t="s">
        <v>68</v>
      </c>
      <c r="C56" s="11" t="s">
        <v>123</v>
      </c>
      <c r="D56" s="12" t="str">
        <f t="shared" si="10"/>
        <v>Mike McGenniskin</v>
      </c>
      <c r="E56" s="12" t="str">
        <f t="shared" si="11"/>
        <v>Mike McGenniskin</v>
      </c>
      <c r="F56" s="12" t="str">
        <f t="shared" si="14"/>
        <v>Mike McGenniskin</v>
      </c>
      <c r="G56" s="12" t="str">
        <f>IF(Regatta="Yes",A56&amp;" "&amp;B56,"")</f>
        <v>Mike McGenniskin</v>
      </c>
      <c r="H56" s="12"/>
      <c r="I56" s="8">
        <v>83.8</v>
      </c>
      <c r="J56" s="8" t="s">
        <v>17</v>
      </c>
      <c r="K56" s="8" t="str">
        <f>VLOOKUP(D56,DoB!$A$1:$E$68,5,FALSE)</f>
        <v>C</v>
      </c>
      <c r="L56" s="4" t="str">
        <f t="shared" si="12"/>
        <v>M</v>
      </c>
      <c r="M56" s="56" t="s">
        <v>13</v>
      </c>
      <c r="N56" s="4" t="str">
        <f t="shared" si="5"/>
        <v>Yes</v>
      </c>
      <c r="O56" s="4" t="str">
        <f t="shared" si="6"/>
        <v xml:space="preserve"> </v>
      </c>
      <c r="P56" s="4">
        <f>COUNTIF('Regatta Seating'!$F$1:$H$49,D56)</f>
        <v>1</v>
      </c>
      <c r="Q56" s="4">
        <f>COUNTIF('Regatta Seating'!$G$1:$G$49,D56)</f>
        <v>1</v>
      </c>
      <c r="R56">
        <f t="shared" si="9"/>
        <v>0</v>
      </c>
    </row>
    <row r="57" spans="1:18">
      <c r="A57" s="4" t="s">
        <v>54</v>
      </c>
      <c r="B57" s="4" t="s">
        <v>209</v>
      </c>
      <c r="C57" s="11" t="s">
        <v>123</v>
      </c>
      <c r="D57" s="12" t="str">
        <f t="shared" si="10"/>
        <v>Paul Driver</v>
      </c>
      <c r="E57" s="12" t="str">
        <f t="shared" si="11"/>
        <v>Paul Driver</v>
      </c>
      <c r="F57" s="12" t="str">
        <f t="shared" si="14"/>
        <v>Paul Driver</v>
      </c>
      <c r="G57" s="12"/>
      <c r="H57" s="12"/>
      <c r="I57" s="8">
        <v>89.6</v>
      </c>
      <c r="J57" s="8" t="s">
        <v>17</v>
      </c>
      <c r="K57" s="8" t="str">
        <f>VLOOKUP(D57,DoB!$A$1:$E$68,5,FALSE)</f>
        <v>B</v>
      </c>
      <c r="L57" s="4" t="str">
        <f t="shared" si="12"/>
        <v>M</v>
      </c>
      <c r="M57" s="56" t="s">
        <v>13</v>
      </c>
      <c r="N57" s="4" t="str">
        <f t="shared" si="5"/>
        <v>Yes</v>
      </c>
      <c r="O57" s="4" t="str">
        <f t="shared" si="6"/>
        <v xml:space="preserve"> </v>
      </c>
      <c r="P57" s="4">
        <f>COUNTIF('Regatta Seating'!$F$1:$H$49,D57)</f>
        <v>0</v>
      </c>
      <c r="Q57" s="4">
        <f>COUNTIF('Regatta Seating'!$G$1:$G$49,D57)</f>
        <v>0</v>
      </c>
      <c r="R57">
        <f t="shared" si="9"/>
        <v>0</v>
      </c>
    </row>
    <row r="58" spans="1:18">
      <c r="A58" s="4" t="s">
        <v>54</v>
      </c>
      <c r="B58" s="4" t="s">
        <v>39</v>
      </c>
      <c r="C58" s="11" t="s">
        <v>123</v>
      </c>
      <c r="D58" s="12" t="str">
        <f t="shared" si="10"/>
        <v>Paul Shannon</v>
      </c>
      <c r="E58" s="12" t="str">
        <f t="shared" si="11"/>
        <v>Paul Shannon</v>
      </c>
      <c r="F58" s="12" t="str">
        <f t="shared" si="14"/>
        <v>Paul Shannon</v>
      </c>
      <c r="G58" s="12" t="str">
        <f>IF(Regatta="Yes",A58&amp;" "&amp;B58,"")</f>
        <v>Paul Shannon</v>
      </c>
      <c r="H58" s="12"/>
      <c r="I58" s="8">
        <v>75</v>
      </c>
      <c r="J58" s="8" t="s">
        <v>16</v>
      </c>
      <c r="K58" s="8" t="str">
        <f>VLOOKUP(D58,DoB!$A$1:$E$68,5,FALSE)</f>
        <v>C</v>
      </c>
      <c r="L58" s="4" t="str">
        <f t="shared" si="12"/>
        <v>M</v>
      </c>
      <c r="M58" s="56" t="s">
        <v>13</v>
      </c>
      <c r="N58" s="4" t="str">
        <f t="shared" si="5"/>
        <v>Yes</v>
      </c>
      <c r="O58" s="4" t="str">
        <f t="shared" si="6"/>
        <v xml:space="preserve"> </v>
      </c>
      <c r="P58" s="4">
        <f>COUNTIF('Regatta Seating'!$F$1:$H$49,D58)</f>
        <v>0</v>
      </c>
      <c r="Q58" s="4">
        <f>COUNTIF('Regatta Seating'!$G$1:$G$49,D58)</f>
        <v>0</v>
      </c>
      <c r="R58">
        <f t="shared" si="9"/>
        <v>0</v>
      </c>
    </row>
    <row r="59" spans="1:18">
      <c r="A59" s="4" t="s">
        <v>67</v>
      </c>
      <c r="B59" s="4" t="s">
        <v>26</v>
      </c>
      <c r="C59" s="11" t="s">
        <v>123</v>
      </c>
      <c r="D59" s="12" t="str">
        <f t="shared" si="10"/>
        <v>Richard Chan</v>
      </c>
      <c r="E59" s="12" t="str">
        <f t="shared" si="11"/>
        <v>Richard Chan</v>
      </c>
      <c r="F59" s="12" t="str">
        <f t="shared" si="14"/>
        <v>Richard Chan</v>
      </c>
      <c r="G59" s="12"/>
      <c r="H59" s="12"/>
      <c r="I59" s="8">
        <v>71.8</v>
      </c>
      <c r="J59" s="8" t="s">
        <v>175</v>
      </c>
      <c r="K59" s="8" t="str">
        <f>VLOOKUP(D59,DoB!$A$1:$E$68,5,FALSE)</f>
        <v>C</v>
      </c>
      <c r="L59" s="4" t="str">
        <f t="shared" si="12"/>
        <v>M</v>
      </c>
      <c r="M59" s="56" t="s">
        <v>13</v>
      </c>
      <c r="N59" s="4" t="str">
        <f t="shared" si="5"/>
        <v>Yes</v>
      </c>
      <c r="O59" s="4" t="str">
        <f t="shared" si="6"/>
        <v xml:space="preserve"> </v>
      </c>
      <c r="P59" s="4">
        <f>COUNTIF('Regatta Seating'!$F$1:$H$49,D59)</f>
        <v>0</v>
      </c>
      <c r="Q59" s="4">
        <f>COUNTIF('Regatta Seating'!$G$1:$G$49,D59)</f>
        <v>0</v>
      </c>
      <c r="R59">
        <f t="shared" si="9"/>
        <v>0</v>
      </c>
    </row>
    <row r="60" spans="1:18">
      <c r="A60" s="4" t="s">
        <v>45</v>
      </c>
      <c r="B60" s="4" t="s">
        <v>122</v>
      </c>
      <c r="C60" s="11" t="s">
        <v>123</v>
      </c>
      <c r="D60" s="12" t="str">
        <f t="shared" si="10"/>
        <v>Rob Stewart</v>
      </c>
      <c r="E60" s="12" t="str">
        <f t="shared" si="11"/>
        <v>Rob Stewart</v>
      </c>
      <c r="F60" s="12" t="str">
        <f t="shared" si="14"/>
        <v>Rob Stewart</v>
      </c>
      <c r="G60" s="12" t="str">
        <f>IF(Regatta="Yes",A60&amp;" "&amp;B60,"")</f>
        <v>Rob Stewart</v>
      </c>
      <c r="H60" s="12"/>
      <c r="I60" s="8">
        <v>75</v>
      </c>
      <c r="J60" s="8" t="s">
        <v>17</v>
      </c>
      <c r="K60" s="8" t="str">
        <f>VLOOKUP(D60,DoB!$A$1:$E$68,5,FALSE)</f>
        <v>C</v>
      </c>
      <c r="L60" s="4" t="str">
        <f t="shared" si="12"/>
        <v>M</v>
      </c>
      <c r="M60" s="56" t="s">
        <v>13</v>
      </c>
      <c r="N60" s="4" t="str">
        <f t="shared" si="5"/>
        <v>Yes</v>
      </c>
      <c r="O60" s="4" t="str">
        <f t="shared" si="6"/>
        <v xml:space="preserve"> </v>
      </c>
      <c r="P60" s="4">
        <f>COUNTIF('Regatta Seating'!$F$1:$H$49,D60)</f>
        <v>0</v>
      </c>
      <c r="Q60" s="4">
        <f>COUNTIF('Regatta Seating'!$G$1:$G$49,D60)</f>
        <v>0</v>
      </c>
      <c r="R60">
        <f t="shared" si="9"/>
        <v>0</v>
      </c>
    </row>
    <row r="61" spans="1:18">
      <c r="A61" s="4" t="s">
        <v>52</v>
      </c>
      <c r="B61" s="4" t="s">
        <v>53</v>
      </c>
      <c r="C61" s="11" t="s">
        <v>123</v>
      </c>
      <c r="D61" s="12" t="str">
        <f t="shared" si="10"/>
        <v>Ross Parker</v>
      </c>
      <c r="E61" s="12" t="str">
        <f t="shared" si="11"/>
        <v>Ross Parker</v>
      </c>
      <c r="F61" s="12" t="str">
        <f t="shared" si="14"/>
        <v>Ross Parker</v>
      </c>
      <c r="G61" s="12" t="str">
        <f>IF(Regatta="Yes",A61&amp;" "&amp;B61,"")</f>
        <v>Ross Parker</v>
      </c>
      <c r="H61" s="12"/>
      <c r="I61" s="8">
        <v>81.8</v>
      </c>
      <c r="J61" s="8" t="s">
        <v>175</v>
      </c>
      <c r="K61" s="8" t="str">
        <f>VLOOKUP(D61,DoB!$A$1:$E$68,5,FALSE)</f>
        <v>C</v>
      </c>
      <c r="L61" s="4" t="str">
        <f t="shared" si="12"/>
        <v>M</v>
      </c>
      <c r="M61" s="56" t="s">
        <v>13</v>
      </c>
      <c r="N61" s="4" t="str">
        <f t="shared" si="5"/>
        <v>Yes</v>
      </c>
      <c r="O61" s="4" t="str">
        <f t="shared" si="6"/>
        <v xml:space="preserve"> </v>
      </c>
      <c r="P61" s="4">
        <f>COUNTIF('Regatta Seating'!$F$1:$H$49,D61)</f>
        <v>0</v>
      </c>
      <c r="Q61" s="4">
        <f>COUNTIF('Regatta Seating'!$G$1:$G$49,D61)</f>
        <v>0</v>
      </c>
      <c r="R61">
        <f t="shared" si="9"/>
        <v>0</v>
      </c>
    </row>
    <row r="62" spans="1:18">
      <c r="A62" s="4" t="s">
        <v>253</v>
      </c>
      <c r="B62" s="4" t="s">
        <v>254</v>
      </c>
      <c r="C62" s="11" t="s">
        <v>123</v>
      </c>
      <c r="D62" s="12" t="str">
        <f t="shared" si="10"/>
        <v>Sam Donato</v>
      </c>
      <c r="E62" s="12" t="str">
        <f t="shared" si="11"/>
        <v>Sam Donato</v>
      </c>
      <c r="F62" s="12" t="str">
        <f t="shared" si="14"/>
        <v>Sam Donato</v>
      </c>
      <c r="G62" s="12"/>
      <c r="H62" s="12"/>
      <c r="I62" s="66">
        <v>100</v>
      </c>
      <c r="J62" s="8" t="s">
        <v>175</v>
      </c>
      <c r="K62" s="8" t="str">
        <f>VLOOKUP(D62,DoB!$A$1:$E$68,5,FALSE)</f>
        <v>C</v>
      </c>
      <c r="L62" s="4" t="str">
        <f t="shared" si="12"/>
        <v>M</v>
      </c>
      <c r="M62" s="56" t="s">
        <v>13</v>
      </c>
      <c r="N62" s="4" t="str">
        <f t="shared" si="5"/>
        <v>Yes</v>
      </c>
      <c r="O62" s="4" t="str">
        <f t="shared" si="6"/>
        <v xml:space="preserve"> </v>
      </c>
      <c r="P62" s="4">
        <f>COUNTIF('Regatta Seating'!$F$1:$H$49,D62)</f>
        <v>1</v>
      </c>
      <c r="Q62" s="4">
        <f>COUNTIF('Regatta Seating'!$G$1:$G$49,D62)</f>
        <v>0</v>
      </c>
      <c r="R62">
        <f t="shared" si="9"/>
        <v>1</v>
      </c>
    </row>
    <row r="63" spans="1:18">
      <c r="A63" s="4" t="s">
        <v>113</v>
      </c>
      <c r="B63" s="4" t="s">
        <v>114</v>
      </c>
      <c r="C63" s="11" t="s">
        <v>123</v>
      </c>
      <c r="D63" s="12" t="str">
        <f t="shared" si="10"/>
        <v>Stephen Arrowsmith</v>
      </c>
      <c r="E63" s="12" t="str">
        <f t="shared" si="11"/>
        <v>Stephen Arrowsmith</v>
      </c>
      <c r="F63" s="12" t="str">
        <f t="shared" si="14"/>
        <v>Stephen Arrowsmith</v>
      </c>
      <c r="G63" s="12"/>
      <c r="H63" s="12"/>
      <c r="I63" s="8">
        <v>114</v>
      </c>
      <c r="J63" s="8" t="s">
        <v>175</v>
      </c>
      <c r="K63" s="8" t="str">
        <f>VLOOKUP(D63,DoB!$A$1:$E$68,5,FALSE)</f>
        <v>C</v>
      </c>
      <c r="L63" s="4" t="str">
        <f t="shared" si="12"/>
        <v>M</v>
      </c>
      <c r="M63" s="56" t="s">
        <v>13</v>
      </c>
      <c r="N63" s="4" t="str">
        <f t="shared" si="5"/>
        <v>Yes</v>
      </c>
      <c r="O63" s="4" t="str">
        <f t="shared" si="6"/>
        <v xml:space="preserve"> </v>
      </c>
      <c r="P63" s="4">
        <f>COUNTIF('Regatta Seating'!$F$1:$H$49,D63)</f>
        <v>0</v>
      </c>
      <c r="Q63" s="4">
        <f>COUNTIF('Regatta Seating'!$G$1:$G$49,D63)</f>
        <v>0</v>
      </c>
      <c r="R63">
        <f t="shared" si="9"/>
        <v>0</v>
      </c>
    </row>
    <row r="64" spans="1:18">
      <c r="A64" s="4" t="s">
        <v>228</v>
      </c>
      <c r="B64" s="4" t="s">
        <v>256</v>
      </c>
      <c r="C64" s="11" t="s">
        <v>123</v>
      </c>
      <c r="D64" s="12" t="str">
        <f t="shared" si="10"/>
        <v>Steve Kaplan</v>
      </c>
      <c r="E64" s="12" t="str">
        <f t="shared" si="11"/>
        <v>Steve Kaplan</v>
      </c>
      <c r="F64" s="12" t="str">
        <f t="shared" si="14"/>
        <v>Steve Kaplan</v>
      </c>
      <c r="G64" s="12"/>
      <c r="H64" s="12"/>
      <c r="I64" s="8">
        <v>114</v>
      </c>
      <c r="J64" s="8" t="s">
        <v>175</v>
      </c>
      <c r="K64" s="8" t="str">
        <f>VLOOKUP(D64,DoB!$A$1:$E$68,5,FALSE)</f>
        <v>B</v>
      </c>
      <c r="L64" s="4" t="str">
        <f t="shared" si="12"/>
        <v>M</v>
      </c>
      <c r="M64" s="56" t="s">
        <v>13</v>
      </c>
      <c r="N64" s="4" t="str">
        <f t="shared" si="5"/>
        <v>Yes</v>
      </c>
      <c r="O64" s="4" t="str">
        <f t="shared" si="6"/>
        <v xml:space="preserve"> </v>
      </c>
      <c r="P64" s="4">
        <f>COUNTIF('Regatta Seating'!$F$1:$H$49,D64)</f>
        <v>0</v>
      </c>
      <c r="Q64" s="4">
        <f>COUNTIF('Regatta Seating'!$G$1:$G$49,D64)</f>
        <v>0</v>
      </c>
      <c r="R64">
        <f t="shared" si="9"/>
        <v>0</v>
      </c>
    </row>
    <row r="65" spans="1:18">
      <c r="A65" s="4" t="s">
        <v>212</v>
      </c>
      <c r="B65" s="4" t="s">
        <v>213</v>
      </c>
      <c r="C65" s="11" t="s">
        <v>123</v>
      </c>
      <c r="D65" s="12" t="str">
        <f t="shared" si="10"/>
        <v>Victor Usher</v>
      </c>
      <c r="E65" s="12" t="str">
        <f t="shared" si="11"/>
        <v>Victor Usher</v>
      </c>
      <c r="F65" s="12" t="str">
        <f t="shared" si="14"/>
        <v>Victor Usher</v>
      </c>
      <c r="G65" s="12"/>
      <c r="H65" s="12"/>
      <c r="I65" s="8">
        <v>83.3</v>
      </c>
      <c r="J65" s="8" t="s">
        <v>17</v>
      </c>
      <c r="K65" s="8" t="str">
        <f>VLOOKUP(D65,DoB!$A$1:$E$68,5,FALSE)</f>
        <v>C</v>
      </c>
      <c r="L65" s="4" t="str">
        <f t="shared" si="12"/>
        <v>M</v>
      </c>
      <c r="M65" s="56" t="s">
        <v>13</v>
      </c>
      <c r="N65" s="4" t="str">
        <f t="shared" si="5"/>
        <v>Yes</v>
      </c>
      <c r="O65" s="4" t="str">
        <f t="shared" si="6"/>
        <v xml:space="preserve"> </v>
      </c>
      <c r="P65" s="4">
        <f>COUNTIF('Regatta Seating'!$F$1:$H$49,D65)</f>
        <v>0</v>
      </c>
      <c r="Q65" s="4">
        <f>COUNTIF('Regatta Seating'!$G$1:$G$49,D65)</f>
        <v>0</v>
      </c>
      <c r="R65">
        <f t="shared" si="9"/>
        <v>0</v>
      </c>
    </row>
    <row r="66" spans="1:18">
      <c r="A66" s="4" t="s">
        <v>44</v>
      </c>
      <c r="B66" s="4" t="s">
        <v>28</v>
      </c>
      <c r="C66" s="11" t="s">
        <v>123</v>
      </c>
      <c r="D66" s="12" t="str">
        <f t="shared" si="10"/>
        <v>Wayne Chappel</v>
      </c>
      <c r="E66" s="12" t="str">
        <f t="shared" si="11"/>
        <v>Wayne Chappel</v>
      </c>
      <c r="F66" s="12" t="str">
        <f t="shared" si="14"/>
        <v>Wayne Chappel</v>
      </c>
      <c r="G66" s="12"/>
      <c r="H66" s="12"/>
      <c r="I66" s="8">
        <v>86.6</v>
      </c>
      <c r="J66" s="8" t="s">
        <v>16</v>
      </c>
      <c r="K66" s="8" t="str">
        <f>VLOOKUP(D66,DoB!$A$1:$E$68,5,FALSE)</f>
        <v>C</v>
      </c>
      <c r="L66" s="4" t="str">
        <f t="shared" si="12"/>
        <v>M</v>
      </c>
      <c r="M66" s="56" t="s">
        <v>13</v>
      </c>
      <c r="N66" s="4" t="str">
        <f t="shared" si="5"/>
        <v>Yes</v>
      </c>
      <c r="O66" s="4" t="str">
        <f t="shared" si="6"/>
        <v xml:space="preserve"> </v>
      </c>
      <c r="P66" s="4">
        <f>COUNTIF('Regatta Seating'!$F$1:$H$49,D66)</f>
        <v>0</v>
      </c>
      <c r="Q66" s="4">
        <f>COUNTIF('Regatta Seating'!$G$1:$G$49,D66)</f>
        <v>0</v>
      </c>
      <c r="R66">
        <f t="shared" ref="R66" si="15">P66-Q66</f>
        <v>0</v>
      </c>
    </row>
    <row r="67" spans="1:18">
      <c r="A67" s="3"/>
      <c r="C67" s="1" t="s">
        <v>124</v>
      </c>
      <c r="K67" t="s">
        <v>13</v>
      </c>
      <c r="M67">
        <f>N67+O67</f>
        <v>64</v>
      </c>
      <c r="N67">
        <f>COUNTIF(N3:N66,"Yes")</f>
        <v>29</v>
      </c>
      <c r="O67">
        <f>COUNTIF(O3:O66,"Yes")</f>
        <v>35</v>
      </c>
    </row>
    <row r="68" spans="1:18">
      <c r="A68" s="3"/>
      <c r="C68" s="1" t="s">
        <v>123</v>
      </c>
      <c r="K68" t="s">
        <v>214</v>
      </c>
      <c r="M68">
        <f>COUNTIF(M3:M66,"No")</f>
        <v>0</v>
      </c>
    </row>
    <row r="69" spans="1:18">
      <c r="K69" t="s">
        <v>89</v>
      </c>
      <c r="N69">
        <f>COUNTIFS($K$3:$K$66,"A",$N$3:$N$66,"Yes")</f>
        <v>0</v>
      </c>
      <c r="O69">
        <f>COUNTIFS($K$3:$K$66,"A",$O$3:$O$66,"Yes")</f>
        <v>2</v>
      </c>
    </row>
    <row r="70" spans="1:18">
      <c r="K70" t="s">
        <v>88</v>
      </c>
      <c r="N70">
        <f>COUNTIFS($K$3:$K$66,"Jun or Prem",$N$3:$N$66,"Yes")</f>
        <v>0</v>
      </c>
      <c r="O70">
        <f>COUNTIFS($K$3:$K$66,"Jun or Prem",$O$3:$O$66,"Yes")</f>
        <v>0</v>
      </c>
    </row>
    <row r="71" spans="1:18">
      <c r="K71" t="s">
        <v>90</v>
      </c>
      <c r="N71">
        <f>COUNTIFS($K$3:$K$66,"B",$N$3:$N$66,"Yes")</f>
        <v>5</v>
      </c>
      <c r="O71">
        <f>COUNTIFS($K$3:$K$66,"B",$O$3:$O$66,"Yes")</f>
        <v>2</v>
      </c>
    </row>
    <row r="72" spans="1:18">
      <c r="K72" t="s">
        <v>91</v>
      </c>
      <c r="N72">
        <f>COUNTIFS($K$3:$K$66,"C",$N$3:$N$66,"Yes")</f>
        <v>24</v>
      </c>
      <c r="O72">
        <f>COUNTIFS($K$3:$K$66,"C",$O$3:$O$66,"Yes")</f>
        <v>31</v>
      </c>
    </row>
  </sheetData>
  <sortState xmlns:xlrd2="http://schemas.microsoft.com/office/spreadsheetml/2017/richdata2" ref="A2:S79">
    <sortCondition ref="C2:C79"/>
    <sortCondition ref="A2:A79"/>
    <sortCondition ref="B2:B79"/>
  </sortState>
  <conditionalFormatting sqref="J12:J13 J22:J25 J30:J31 J45 J7 J9:J10 J63 J52:J54 J49 J35:J36 J17 J27 J56:J60 J65:J66">
    <cfRule type="cellIs" dxfId="238" priority="495" operator="equal">
      <formula>"None"</formula>
    </cfRule>
  </conditionalFormatting>
  <conditionalFormatting sqref="L12:L13 L22:L24 L30:L31 L45 L7 C3 L9:L10 L63 L52:L54 L49 L35:L36 L17 L27 L56:L60 L65:L66">
    <cfRule type="cellIs" dxfId="237" priority="492" operator="equal">
      <formula>"F"</formula>
    </cfRule>
    <cfRule type="cellIs" dxfId="236" priority="493" operator="equal">
      <formula>"M"</formula>
    </cfRule>
  </conditionalFormatting>
  <conditionalFormatting sqref="F3:H3 D63:H63 D36:F36 H36 D46:H46 G35:G36 H27:H29 D27:F29 D15 G15:H15 E12:F15 E17:H18 D17 G21:H24 D51:H57 G26:G31 D65:H66 D48:H49">
    <cfRule type="cellIs" dxfId="235" priority="490" operator="lessThan">
      <formula>"A"</formula>
    </cfRule>
  </conditionalFormatting>
  <conditionalFormatting sqref="J3">
    <cfRule type="cellIs" dxfId="234" priority="487" operator="equal">
      <formula>"None"</formula>
    </cfRule>
  </conditionalFormatting>
  <conditionalFormatting sqref="L3">
    <cfRule type="cellIs" dxfId="233" priority="485" operator="equal">
      <formula>"F"</formula>
    </cfRule>
    <cfRule type="cellIs" dxfId="232" priority="486" operator="equal">
      <formula>"M"</formula>
    </cfRule>
  </conditionalFormatting>
  <conditionalFormatting sqref="J14">
    <cfRule type="cellIs" dxfId="231" priority="480" operator="equal">
      <formula>"None"</formula>
    </cfRule>
  </conditionalFormatting>
  <conditionalFormatting sqref="L14">
    <cfRule type="cellIs" dxfId="230" priority="478" operator="equal">
      <formula>"F"</formula>
    </cfRule>
    <cfRule type="cellIs" dxfId="229" priority="479" operator="equal">
      <formula>"M"</formula>
    </cfRule>
  </conditionalFormatting>
  <conditionalFormatting sqref="J18:J20">
    <cfRule type="cellIs" dxfId="228" priority="473" operator="equal">
      <formula>"None"</formula>
    </cfRule>
  </conditionalFormatting>
  <conditionalFormatting sqref="L18:L20">
    <cfRule type="cellIs" dxfId="227" priority="471" operator="equal">
      <formula>"F"</formula>
    </cfRule>
    <cfRule type="cellIs" dxfId="226" priority="472" operator="equal">
      <formula>"M"</formula>
    </cfRule>
  </conditionalFormatting>
  <conditionalFormatting sqref="J5">
    <cfRule type="cellIs" dxfId="225" priority="459" operator="equal">
      <formula>"None"</formula>
    </cfRule>
  </conditionalFormatting>
  <conditionalFormatting sqref="L5">
    <cfRule type="cellIs" dxfId="224" priority="457" operator="equal">
      <formula>"F"</formula>
    </cfRule>
    <cfRule type="cellIs" dxfId="223" priority="458" operator="equal">
      <formula>"M"</formula>
    </cfRule>
  </conditionalFormatting>
  <conditionalFormatting sqref="J4">
    <cfRule type="cellIs" dxfId="222" priority="452" operator="equal">
      <formula>"None"</formula>
    </cfRule>
  </conditionalFormatting>
  <conditionalFormatting sqref="L4">
    <cfRule type="cellIs" dxfId="221" priority="450" operator="equal">
      <formula>"F"</formula>
    </cfRule>
    <cfRule type="cellIs" dxfId="220" priority="451" operator="equal">
      <formula>"M"</formula>
    </cfRule>
  </conditionalFormatting>
  <conditionalFormatting sqref="J11">
    <cfRule type="cellIs" dxfId="219" priority="445" operator="equal">
      <formula>"None"</formula>
    </cfRule>
  </conditionalFormatting>
  <conditionalFormatting sqref="L11">
    <cfRule type="cellIs" dxfId="218" priority="443" operator="equal">
      <formula>"F"</formula>
    </cfRule>
    <cfRule type="cellIs" dxfId="217" priority="444" operator="equal">
      <formula>"M"</formula>
    </cfRule>
  </conditionalFormatting>
  <conditionalFormatting sqref="J21">
    <cfRule type="cellIs" dxfId="216" priority="438" operator="equal">
      <formula>"None"</formula>
    </cfRule>
  </conditionalFormatting>
  <conditionalFormatting sqref="L21">
    <cfRule type="cellIs" dxfId="215" priority="436" operator="equal">
      <formula>"F"</formula>
    </cfRule>
    <cfRule type="cellIs" dxfId="214" priority="437" operator="equal">
      <formula>"M"</formula>
    </cfRule>
  </conditionalFormatting>
  <conditionalFormatting sqref="J26">
    <cfRule type="cellIs" dxfId="213" priority="410" operator="equal">
      <formula>"None"</formula>
    </cfRule>
  </conditionalFormatting>
  <conditionalFormatting sqref="L26">
    <cfRule type="cellIs" dxfId="212" priority="408" operator="equal">
      <formula>"F"</formula>
    </cfRule>
    <cfRule type="cellIs" dxfId="211" priority="409" operator="equal">
      <formula>"M"</formula>
    </cfRule>
  </conditionalFormatting>
  <conditionalFormatting sqref="J65">
    <cfRule type="cellIs" dxfId="210" priority="403" operator="equal">
      <formula>"None"</formula>
    </cfRule>
  </conditionalFormatting>
  <conditionalFormatting sqref="L65">
    <cfRule type="cellIs" dxfId="209" priority="401" operator="equal">
      <formula>"F"</formula>
    </cfRule>
    <cfRule type="cellIs" dxfId="208" priority="402" operator="equal">
      <formula>"M"</formula>
    </cfRule>
  </conditionalFormatting>
  <conditionalFormatting sqref="J28">
    <cfRule type="cellIs" dxfId="207" priority="396" operator="equal">
      <formula>"None"</formula>
    </cfRule>
  </conditionalFormatting>
  <conditionalFormatting sqref="L28">
    <cfRule type="cellIs" dxfId="206" priority="394" operator="equal">
      <formula>"F"</formula>
    </cfRule>
    <cfRule type="cellIs" dxfId="205" priority="395" operator="equal">
      <formula>"M"</formula>
    </cfRule>
  </conditionalFormatting>
  <conditionalFormatting sqref="J29">
    <cfRule type="cellIs" dxfId="204" priority="389" operator="equal">
      <formula>"None"</formula>
    </cfRule>
  </conditionalFormatting>
  <conditionalFormatting sqref="L29">
    <cfRule type="cellIs" dxfId="203" priority="387" operator="equal">
      <formula>"F"</formula>
    </cfRule>
    <cfRule type="cellIs" dxfId="202" priority="388" operator="equal">
      <formula>"M"</formula>
    </cfRule>
  </conditionalFormatting>
  <conditionalFormatting sqref="J44">
    <cfRule type="cellIs" dxfId="201" priority="375" operator="equal">
      <formula>"None"</formula>
    </cfRule>
  </conditionalFormatting>
  <conditionalFormatting sqref="L44">
    <cfRule type="cellIs" dxfId="200" priority="373" operator="equal">
      <formula>"F"</formula>
    </cfRule>
    <cfRule type="cellIs" dxfId="199" priority="374" operator="equal">
      <formula>"M"</formula>
    </cfRule>
  </conditionalFormatting>
  <conditionalFormatting sqref="J46">
    <cfRule type="cellIs" dxfId="198" priority="361" operator="equal">
      <formula>"None"</formula>
    </cfRule>
  </conditionalFormatting>
  <conditionalFormatting sqref="L46">
    <cfRule type="cellIs" dxfId="197" priority="359" operator="equal">
      <formula>"F"</formula>
    </cfRule>
    <cfRule type="cellIs" dxfId="196" priority="360" operator="equal">
      <formula>"M"</formula>
    </cfRule>
  </conditionalFormatting>
  <conditionalFormatting sqref="J48">
    <cfRule type="cellIs" dxfId="195" priority="354" operator="equal">
      <formula>"None"</formula>
    </cfRule>
  </conditionalFormatting>
  <conditionalFormatting sqref="L48">
    <cfRule type="cellIs" dxfId="194" priority="352" operator="equal">
      <formula>"F"</formula>
    </cfRule>
    <cfRule type="cellIs" dxfId="193" priority="353" operator="equal">
      <formula>"M"</formula>
    </cfRule>
  </conditionalFormatting>
  <conditionalFormatting sqref="J51">
    <cfRule type="cellIs" dxfId="192" priority="347" operator="equal">
      <formula>"None"</formula>
    </cfRule>
  </conditionalFormatting>
  <conditionalFormatting sqref="L51">
    <cfRule type="cellIs" dxfId="191" priority="345" operator="equal">
      <formula>"F"</formula>
    </cfRule>
    <cfRule type="cellIs" dxfId="190" priority="346" operator="equal">
      <formula>"M"</formula>
    </cfRule>
  </conditionalFormatting>
  <conditionalFormatting sqref="D31:F31 H31">
    <cfRule type="cellIs" dxfId="189" priority="271" operator="lessThan">
      <formula>"A"</formula>
    </cfRule>
  </conditionalFormatting>
  <conditionalFormatting sqref="J54:J55">
    <cfRule type="cellIs" dxfId="188" priority="326" operator="equal">
      <formula>"None"</formula>
    </cfRule>
  </conditionalFormatting>
  <conditionalFormatting sqref="L54:L55">
    <cfRule type="cellIs" dxfId="187" priority="324" operator="equal">
      <formula>"F"</formula>
    </cfRule>
    <cfRule type="cellIs" dxfId="186" priority="325" operator="equal">
      <formula>"M"</formula>
    </cfRule>
  </conditionalFormatting>
  <conditionalFormatting sqref="J15">
    <cfRule type="cellIs" dxfId="185" priority="312" operator="equal">
      <formula>"None"</formula>
    </cfRule>
  </conditionalFormatting>
  <conditionalFormatting sqref="L15">
    <cfRule type="cellIs" dxfId="184" priority="310" operator="equal">
      <formula>"F"</formula>
    </cfRule>
    <cfRule type="cellIs" dxfId="183" priority="311" operator="equal">
      <formula>"M"</formula>
    </cfRule>
  </conditionalFormatting>
  <conditionalFormatting sqref="D45 F45:H45">
    <cfRule type="cellIs" dxfId="182" priority="236" operator="lessThan">
      <formula>"A"</formula>
    </cfRule>
  </conditionalFormatting>
  <conditionalFormatting sqref="H12">
    <cfRule type="cellIs" dxfId="181" priority="230" operator="lessThan">
      <formula>"A"</formula>
    </cfRule>
  </conditionalFormatting>
  <conditionalFormatting sqref="D11:H11 D44 H4 H12:H14 H19 D23:F24 D58 F58:H58 E10:H10 E5:H5 H9 E7:H7">
    <cfRule type="cellIs" dxfId="180" priority="301" operator="lessThan">
      <formula>"A"</formula>
    </cfRule>
  </conditionalFormatting>
  <conditionalFormatting sqref="G13:H13">
    <cfRule type="cellIs" dxfId="179" priority="298" operator="lessThan">
      <formula>"A"</formula>
    </cfRule>
  </conditionalFormatting>
  <conditionalFormatting sqref="D21:F21 H21">
    <cfRule type="cellIs" dxfId="178" priority="289" operator="lessThan">
      <formula>"A"</formula>
    </cfRule>
  </conditionalFormatting>
  <conditionalFormatting sqref="E22:F22 H22">
    <cfRule type="cellIs" dxfId="177" priority="286" operator="lessThan">
      <formula>"A"</formula>
    </cfRule>
  </conditionalFormatting>
  <conditionalFormatting sqref="E26:F26 H26">
    <cfRule type="cellIs" dxfId="176" priority="280" operator="lessThan">
      <formula>"A"</formula>
    </cfRule>
  </conditionalFormatting>
  <conditionalFormatting sqref="D65:F65 H65">
    <cfRule type="cellIs" dxfId="175" priority="277" operator="lessThan">
      <formula>"A"</formula>
    </cfRule>
  </conditionalFormatting>
  <conditionalFormatting sqref="D9:H9">
    <cfRule type="cellIs" dxfId="174" priority="262" operator="lessThan">
      <formula>"A"</formula>
    </cfRule>
  </conditionalFormatting>
  <conditionalFormatting sqref="D14 H14">
    <cfRule type="cellIs" dxfId="173" priority="259" operator="lessThan">
      <formula>"A"</formula>
    </cfRule>
  </conditionalFormatting>
  <conditionalFormatting sqref="D20:F20">
    <cfRule type="cellIs" dxfId="172" priority="256" operator="lessThan">
      <formula>"A"</formula>
    </cfRule>
  </conditionalFormatting>
  <conditionalFormatting sqref="D30:F30 H30">
    <cfRule type="cellIs" dxfId="171" priority="253" operator="lessThan">
      <formula>"A"</formula>
    </cfRule>
  </conditionalFormatting>
  <conditionalFormatting sqref="D35:F35 H35">
    <cfRule type="cellIs" dxfId="170" priority="250" operator="lessThan">
      <formula>"A"</formula>
    </cfRule>
  </conditionalFormatting>
  <conditionalFormatting sqref="D19 F19:H19">
    <cfRule type="cellIs" dxfId="169" priority="247" operator="lessThan">
      <formula>"A"</formula>
    </cfRule>
  </conditionalFormatting>
  <conditionalFormatting sqref="E4:H4">
    <cfRule type="cellIs" dxfId="168" priority="242" operator="lessThan">
      <formula>"A"</formula>
    </cfRule>
  </conditionalFormatting>
  <conditionalFormatting sqref="E45">
    <cfRule type="cellIs" dxfId="167" priority="235" operator="lessThan">
      <formula>"A"</formula>
    </cfRule>
  </conditionalFormatting>
  <conditionalFormatting sqref="G14">
    <cfRule type="cellIs" dxfId="166" priority="233" operator="lessThan">
      <formula>"A"</formula>
    </cfRule>
  </conditionalFormatting>
  <conditionalFormatting sqref="G12">
    <cfRule type="cellIs" dxfId="165" priority="234" operator="lessThan">
      <formula>"A"</formula>
    </cfRule>
  </conditionalFormatting>
  <conditionalFormatting sqref="E44:F44 H44">
    <cfRule type="cellIs" dxfId="164" priority="231" operator="lessThan">
      <formula>"A"</formula>
    </cfRule>
  </conditionalFormatting>
  <conditionalFormatting sqref="G44">
    <cfRule type="cellIs" dxfId="163" priority="232" operator="lessThan">
      <formula>"A"</formula>
    </cfRule>
  </conditionalFormatting>
  <conditionalFormatting sqref="D59">
    <cfRule type="cellIs" dxfId="162" priority="219" operator="lessThan">
      <formula>"A"</formula>
    </cfRule>
  </conditionalFormatting>
  <conditionalFormatting sqref="E58">
    <cfRule type="cellIs" dxfId="161" priority="213" operator="lessThan">
      <formula>"A"</formula>
    </cfRule>
  </conditionalFormatting>
  <conditionalFormatting sqref="E59:H59">
    <cfRule type="cellIs" dxfId="160" priority="212" operator="lessThan">
      <formula>"A"</formula>
    </cfRule>
  </conditionalFormatting>
  <conditionalFormatting sqref="E3">
    <cfRule type="cellIs" dxfId="159" priority="210" operator="lessThan">
      <formula>"A"</formula>
    </cfRule>
  </conditionalFormatting>
  <conditionalFormatting sqref="G20:H20">
    <cfRule type="cellIs" dxfId="158" priority="199" operator="lessThan">
      <formula>"A"</formula>
    </cfRule>
  </conditionalFormatting>
  <conditionalFormatting sqref="B67:B68">
    <cfRule type="cellIs" dxfId="157" priority="180" operator="equal">
      <formula>"F"</formula>
    </cfRule>
    <cfRule type="cellIs" dxfId="156" priority="181" operator="equal">
      <formula>"M"</formula>
    </cfRule>
  </conditionalFormatting>
  <conditionalFormatting sqref="J8">
    <cfRule type="cellIs" dxfId="155" priority="177" operator="equal">
      <formula>"None"</formula>
    </cfRule>
  </conditionalFormatting>
  <conditionalFormatting sqref="L8">
    <cfRule type="cellIs" dxfId="154" priority="175" operator="equal">
      <formula>"F"</formula>
    </cfRule>
    <cfRule type="cellIs" dxfId="153" priority="176" operator="equal">
      <formula>"M"</formula>
    </cfRule>
  </conditionalFormatting>
  <conditionalFormatting sqref="D8:H8">
    <cfRule type="cellIs" dxfId="152" priority="174" operator="lessThan">
      <formula>"A"</formula>
    </cfRule>
  </conditionalFormatting>
  <conditionalFormatting sqref="J61">
    <cfRule type="cellIs" dxfId="151" priority="159" operator="equal">
      <formula>"None"</formula>
    </cfRule>
  </conditionalFormatting>
  <conditionalFormatting sqref="L61">
    <cfRule type="cellIs" dxfId="150" priority="157" operator="equal">
      <formula>"F"</formula>
    </cfRule>
    <cfRule type="cellIs" dxfId="149" priority="158" operator="equal">
      <formula>"M"</formula>
    </cfRule>
  </conditionalFormatting>
  <conditionalFormatting sqref="D61">
    <cfRule type="cellIs" dxfId="148" priority="155" operator="lessThan">
      <formula>"A"</formula>
    </cfRule>
  </conditionalFormatting>
  <conditionalFormatting sqref="E61:H61">
    <cfRule type="cellIs" dxfId="147" priority="154" operator="lessThan">
      <formula>"A"</formula>
    </cfRule>
  </conditionalFormatting>
  <conditionalFormatting sqref="D60">
    <cfRule type="cellIs" dxfId="146" priority="153" operator="lessThan">
      <formula>"A"</formula>
    </cfRule>
  </conditionalFormatting>
  <conditionalFormatting sqref="E60:F60">
    <cfRule type="cellIs" dxfId="145" priority="152" operator="lessThan">
      <formula>"A"</formula>
    </cfRule>
  </conditionalFormatting>
  <conditionalFormatting sqref="G60">
    <cfRule type="cellIs" dxfId="144" priority="151" operator="lessThan">
      <formula>"A"</formula>
    </cfRule>
  </conditionalFormatting>
  <conditionalFormatting sqref="H60">
    <cfRule type="cellIs" dxfId="143" priority="150" operator="lessThan">
      <formula>"A"</formula>
    </cfRule>
  </conditionalFormatting>
  <conditionalFormatting sqref="D50:H50">
    <cfRule type="cellIs" dxfId="142" priority="137" operator="lessThan">
      <formula>"A"</formula>
    </cfRule>
  </conditionalFormatting>
  <conditionalFormatting sqref="J50">
    <cfRule type="cellIs" dxfId="141" priority="136" operator="equal">
      <formula>"None"</formula>
    </cfRule>
  </conditionalFormatting>
  <conditionalFormatting sqref="L50">
    <cfRule type="cellIs" dxfId="140" priority="134" operator="equal">
      <formula>"F"</formula>
    </cfRule>
    <cfRule type="cellIs" dxfId="139" priority="135" operator="equal">
      <formula>"M"</formula>
    </cfRule>
  </conditionalFormatting>
  <conditionalFormatting sqref="D5">
    <cfRule type="cellIs" dxfId="138" priority="133" operator="lessThan">
      <formula>"A"</formula>
    </cfRule>
  </conditionalFormatting>
  <conditionalFormatting sqref="D10">
    <cfRule type="cellIs" dxfId="137" priority="132" operator="lessThan">
      <formula>"A"</formula>
    </cfRule>
  </conditionalFormatting>
  <conditionalFormatting sqref="D4">
    <cfRule type="cellIs" dxfId="136" priority="131" operator="lessThan">
      <formula>"A"</formula>
    </cfRule>
  </conditionalFormatting>
  <conditionalFormatting sqref="D3">
    <cfRule type="cellIs" dxfId="135" priority="130" operator="lessThan">
      <formula>"A"</formula>
    </cfRule>
  </conditionalFormatting>
  <conditionalFormatting sqref="D7">
    <cfRule type="cellIs" dxfId="134" priority="129" operator="lessThan">
      <formula>"A"</formula>
    </cfRule>
  </conditionalFormatting>
  <conditionalFormatting sqref="D12">
    <cfRule type="cellIs" dxfId="133" priority="128" operator="lessThan">
      <formula>"A"</formula>
    </cfRule>
  </conditionalFormatting>
  <conditionalFormatting sqref="D22">
    <cfRule type="cellIs" dxfId="132" priority="127" operator="lessThan">
      <formula>"A"</formula>
    </cfRule>
  </conditionalFormatting>
  <conditionalFormatting sqref="D13">
    <cfRule type="cellIs" dxfId="131" priority="124" operator="lessThan">
      <formula>"A"</formula>
    </cfRule>
  </conditionalFormatting>
  <conditionalFormatting sqref="D18">
    <cfRule type="cellIs" dxfId="130" priority="123" operator="lessThan">
      <formula>"A"</formula>
    </cfRule>
  </conditionalFormatting>
  <conditionalFormatting sqref="D26">
    <cfRule type="cellIs" dxfId="129" priority="122" operator="lessThan">
      <formula>"A"</formula>
    </cfRule>
  </conditionalFormatting>
  <conditionalFormatting sqref="J32">
    <cfRule type="cellIs" dxfId="128" priority="118" operator="equal">
      <formula>"None"</formula>
    </cfRule>
  </conditionalFormatting>
  <conditionalFormatting sqref="L32">
    <cfRule type="cellIs" dxfId="127" priority="116" operator="equal">
      <formula>"F"</formula>
    </cfRule>
    <cfRule type="cellIs" dxfId="126" priority="117" operator="equal">
      <formula>"M"</formula>
    </cfRule>
  </conditionalFormatting>
  <conditionalFormatting sqref="G32">
    <cfRule type="cellIs" dxfId="125" priority="115" operator="lessThan">
      <formula>"A"</formula>
    </cfRule>
  </conditionalFormatting>
  <conditionalFormatting sqref="D32:F32 H32">
    <cfRule type="cellIs" dxfId="124" priority="114" operator="lessThan">
      <formula>"A"</formula>
    </cfRule>
  </conditionalFormatting>
  <conditionalFormatting sqref="H9">
    <cfRule type="cellIs" dxfId="123" priority="109" operator="lessThan">
      <formula>"A"</formula>
    </cfRule>
  </conditionalFormatting>
  <conditionalFormatting sqref="J16">
    <cfRule type="cellIs" dxfId="122" priority="106" operator="equal">
      <formula>"None"</formula>
    </cfRule>
  </conditionalFormatting>
  <conditionalFormatting sqref="L16">
    <cfRule type="cellIs" dxfId="121" priority="104" operator="equal">
      <formula>"F"</formula>
    </cfRule>
    <cfRule type="cellIs" dxfId="120" priority="105" operator="equal">
      <formula>"M"</formula>
    </cfRule>
  </conditionalFormatting>
  <conditionalFormatting sqref="D16:H16">
    <cfRule type="cellIs" dxfId="119" priority="103" operator="lessThan">
      <formula>"A"</formula>
    </cfRule>
  </conditionalFormatting>
  <conditionalFormatting sqref="Q16">
    <cfRule type="iconSet" priority="107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16">
    <cfRule type="iconSet" priority="108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41">
    <cfRule type="cellIs" dxfId="118" priority="100" operator="equal">
      <formula>"None"</formula>
    </cfRule>
  </conditionalFormatting>
  <conditionalFormatting sqref="L41">
    <cfRule type="cellIs" dxfId="117" priority="98" operator="equal">
      <formula>"F"</formula>
    </cfRule>
    <cfRule type="cellIs" dxfId="116" priority="99" operator="equal">
      <formula>"M"</formula>
    </cfRule>
  </conditionalFormatting>
  <conditionalFormatting sqref="D41:H41">
    <cfRule type="cellIs" dxfId="115" priority="97" operator="lessThan">
      <formula>"A"</formula>
    </cfRule>
  </conditionalFormatting>
  <conditionalFormatting sqref="Q41">
    <cfRule type="iconSet" priority="101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41">
    <cfRule type="iconSet" priority="10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37">
    <cfRule type="cellIs" dxfId="114" priority="94" operator="equal">
      <formula>"None"</formula>
    </cfRule>
  </conditionalFormatting>
  <conditionalFormatting sqref="L37">
    <cfRule type="cellIs" dxfId="113" priority="92" operator="equal">
      <formula>"F"</formula>
    </cfRule>
    <cfRule type="cellIs" dxfId="112" priority="93" operator="equal">
      <formula>"M"</formula>
    </cfRule>
  </conditionalFormatting>
  <conditionalFormatting sqref="D37:H37">
    <cfRule type="cellIs" dxfId="111" priority="91" operator="lessThan">
      <formula>"A"</formula>
    </cfRule>
  </conditionalFormatting>
  <conditionalFormatting sqref="Q37">
    <cfRule type="iconSet" priority="95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37">
    <cfRule type="iconSet" priority="96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43">
    <cfRule type="cellIs" dxfId="110" priority="88" operator="equal">
      <formula>"None"</formula>
    </cfRule>
  </conditionalFormatting>
  <conditionalFormatting sqref="L43">
    <cfRule type="cellIs" dxfId="109" priority="86" operator="equal">
      <formula>"F"</formula>
    </cfRule>
    <cfRule type="cellIs" dxfId="108" priority="87" operator="equal">
      <formula>"M"</formula>
    </cfRule>
  </conditionalFormatting>
  <conditionalFormatting sqref="D43:H43">
    <cfRule type="cellIs" dxfId="107" priority="85" operator="lessThan">
      <formula>"A"</formula>
    </cfRule>
  </conditionalFormatting>
  <conditionalFormatting sqref="Q43">
    <cfRule type="iconSet" priority="89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43">
    <cfRule type="iconSet" priority="90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38:J39">
    <cfRule type="cellIs" dxfId="106" priority="82" operator="equal">
      <formula>"None"</formula>
    </cfRule>
  </conditionalFormatting>
  <conditionalFormatting sqref="L38:L39">
    <cfRule type="cellIs" dxfId="105" priority="80" operator="equal">
      <formula>"F"</formula>
    </cfRule>
    <cfRule type="cellIs" dxfId="104" priority="81" operator="equal">
      <formula>"M"</formula>
    </cfRule>
  </conditionalFormatting>
  <conditionalFormatting sqref="D38:H38 D39:E39 G39:H39">
    <cfRule type="cellIs" dxfId="103" priority="79" operator="lessThan">
      <formula>"A"</formula>
    </cfRule>
  </conditionalFormatting>
  <conditionalFormatting sqref="Q38">
    <cfRule type="iconSet" priority="83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38">
    <cfRule type="iconSet" priority="84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E19">
    <cfRule type="cellIs" dxfId="102" priority="78" operator="lessThan">
      <formula>"A"</formula>
    </cfRule>
  </conditionalFormatting>
  <conditionalFormatting sqref="D2:H2">
    <cfRule type="cellIs" dxfId="101" priority="72" operator="lessThan">
      <formula>"A"</formula>
    </cfRule>
  </conditionalFormatting>
  <conditionalFormatting sqref="J2">
    <cfRule type="cellIs" dxfId="100" priority="75" operator="equal">
      <formula>"None"</formula>
    </cfRule>
  </conditionalFormatting>
  <conditionalFormatting sqref="L2 C2">
    <cfRule type="cellIs" dxfId="99" priority="73" operator="equal">
      <formula>"F"</formula>
    </cfRule>
    <cfRule type="cellIs" dxfId="98" priority="74" operator="equal">
      <formula>"M"</formula>
    </cfRule>
  </conditionalFormatting>
  <conditionalFormatting sqref="Q2">
    <cfRule type="iconSet" priority="76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2">
    <cfRule type="iconSet" priority="77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Q44:Q46 Q3:Q5 Q17:Q24 Q26:Q32 Q63 Q65:Q66 Q48:Q61 Q35:Q36 Q7:Q15">
    <cfRule type="iconSet" priority="1919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44:P46 P3:P5 P17:P24 P26:P32 P63 P65:P66 P48:P61 P35:P36 P7:P15">
    <cfRule type="iconSet" priority="1923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Q39">
    <cfRule type="iconSet" priority="70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39">
    <cfRule type="iconSet" priority="71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G25:H25">
    <cfRule type="cellIs" dxfId="97" priority="69" operator="lessThan">
      <formula>"A"</formula>
    </cfRule>
  </conditionalFormatting>
  <conditionalFormatting sqref="D25:F25">
    <cfRule type="cellIs" dxfId="96" priority="68" operator="lessThan">
      <formula>"A"</formula>
    </cfRule>
  </conditionalFormatting>
  <conditionalFormatting sqref="L25">
    <cfRule type="cellIs" dxfId="95" priority="64" operator="equal">
      <formula>"F"</formula>
    </cfRule>
    <cfRule type="cellIs" dxfId="94" priority="65" operator="equal">
      <formula>"M"</formula>
    </cfRule>
  </conditionalFormatting>
  <conditionalFormatting sqref="Q25">
    <cfRule type="iconSet" priority="66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25">
    <cfRule type="iconSet" priority="67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40">
    <cfRule type="cellIs" dxfId="93" priority="61" operator="equal">
      <formula>"None"</formula>
    </cfRule>
  </conditionalFormatting>
  <conditionalFormatting sqref="L40">
    <cfRule type="cellIs" dxfId="92" priority="59" operator="equal">
      <formula>"F"</formula>
    </cfRule>
    <cfRule type="cellIs" dxfId="91" priority="60" operator="equal">
      <formula>"M"</formula>
    </cfRule>
  </conditionalFormatting>
  <conditionalFormatting sqref="D40:E40 G40:H40">
    <cfRule type="cellIs" dxfId="90" priority="58" operator="lessThan">
      <formula>"A"</formula>
    </cfRule>
  </conditionalFormatting>
  <conditionalFormatting sqref="Q40">
    <cfRule type="iconSet" priority="56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40">
    <cfRule type="iconSet" priority="57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62">
    <cfRule type="cellIs" dxfId="89" priority="53" operator="equal">
      <formula>"None"</formula>
    </cfRule>
  </conditionalFormatting>
  <conditionalFormatting sqref="L62">
    <cfRule type="cellIs" dxfId="88" priority="51" operator="equal">
      <formula>"F"</formula>
    </cfRule>
    <cfRule type="cellIs" dxfId="87" priority="52" operator="equal">
      <formula>"M"</formula>
    </cfRule>
  </conditionalFormatting>
  <conditionalFormatting sqref="D62">
    <cfRule type="cellIs" dxfId="86" priority="50" operator="lessThan">
      <formula>"A"</formula>
    </cfRule>
  </conditionalFormatting>
  <conditionalFormatting sqref="E62:H62">
    <cfRule type="cellIs" dxfId="85" priority="49" operator="lessThan">
      <formula>"A"</formula>
    </cfRule>
  </conditionalFormatting>
  <conditionalFormatting sqref="Q62">
    <cfRule type="iconSet" priority="54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62">
    <cfRule type="iconSet" priority="55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64">
    <cfRule type="cellIs" dxfId="84" priority="46" operator="equal">
      <formula>"None"</formula>
    </cfRule>
  </conditionalFormatting>
  <conditionalFormatting sqref="L64">
    <cfRule type="cellIs" dxfId="83" priority="44" operator="equal">
      <formula>"F"</formula>
    </cfRule>
    <cfRule type="cellIs" dxfId="82" priority="45" operator="equal">
      <formula>"M"</formula>
    </cfRule>
  </conditionalFormatting>
  <conditionalFormatting sqref="D64:E64 G64:H64">
    <cfRule type="cellIs" dxfId="81" priority="43" operator="lessThan">
      <formula>"A"</formula>
    </cfRule>
  </conditionalFormatting>
  <conditionalFormatting sqref="Q64">
    <cfRule type="iconSet" priority="47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64">
    <cfRule type="iconSet" priority="48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D47:H47">
    <cfRule type="cellIs" dxfId="80" priority="38" operator="lessThan">
      <formula>"A"</formula>
    </cfRule>
  </conditionalFormatting>
  <conditionalFormatting sqref="J47">
    <cfRule type="cellIs" dxfId="79" priority="37" operator="equal">
      <formula>"None"</formula>
    </cfRule>
  </conditionalFormatting>
  <conditionalFormatting sqref="L47">
    <cfRule type="cellIs" dxfId="78" priority="35" operator="equal">
      <formula>"F"</formula>
    </cfRule>
    <cfRule type="cellIs" dxfId="77" priority="36" operator="equal">
      <formula>"M"</formula>
    </cfRule>
  </conditionalFormatting>
  <conditionalFormatting sqref="Q47">
    <cfRule type="iconSet" priority="41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47">
    <cfRule type="iconSet" priority="4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42">
    <cfRule type="cellIs" dxfId="76" priority="32" operator="equal">
      <formula>"None"</formula>
    </cfRule>
  </conditionalFormatting>
  <conditionalFormatting sqref="L42">
    <cfRule type="cellIs" dxfId="75" priority="30" operator="equal">
      <formula>"F"</formula>
    </cfRule>
    <cfRule type="cellIs" dxfId="74" priority="31" operator="equal">
      <formula>"M"</formula>
    </cfRule>
  </conditionalFormatting>
  <conditionalFormatting sqref="D42:H42">
    <cfRule type="cellIs" dxfId="73" priority="29" operator="lessThan">
      <formula>"A"</formula>
    </cfRule>
  </conditionalFormatting>
  <conditionalFormatting sqref="Q42">
    <cfRule type="iconSet" priority="33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42">
    <cfRule type="iconSet" priority="34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33">
    <cfRule type="cellIs" dxfId="72" priority="26" operator="equal">
      <formula>"None"</formula>
    </cfRule>
  </conditionalFormatting>
  <conditionalFormatting sqref="L33">
    <cfRule type="cellIs" dxfId="71" priority="24" operator="equal">
      <formula>"F"</formula>
    </cfRule>
    <cfRule type="cellIs" dxfId="70" priority="25" operator="equal">
      <formula>"M"</formula>
    </cfRule>
  </conditionalFormatting>
  <conditionalFormatting sqref="G33">
    <cfRule type="cellIs" dxfId="69" priority="23" operator="lessThan">
      <formula>"A"</formula>
    </cfRule>
  </conditionalFormatting>
  <conditionalFormatting sqref="D33:F33 H33">
    <cfRule type="cellIs" dxfId="68" priority="22" operator="lessThan">
      <formula>"A"</formula>
    </cfRule>
  </conditionalFormatting>
  <conditionalFormatting sqref="Q33">
    <cfRule type="iconSet" priority="27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33">
    <cfRule type="iconSet" priority="28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6">
    <cfRule type="cellIs" dxfId="67" priority="17" operator="equal">
      <formula>"None"</formula>
    </cfRule>
  </conditionalFormatting>
  <conditionalFormatting sqref="L6">
    <cfRule type="cellIs" dxfId="66" priority="15" operator="equal">
      <formula>"F"</formula>
    </cfRule>
    <cfRule type="cellIs" dxfId="65" priority="16" operator="equal">
      <formula>"M"</formula>
    </cfRule>
  </conditionalFormatting>
  <conditionalFormatting sqref="E6:H6">
    <cfRule type="cellIs" dxfId="64" priority="14" operator="lessThan">
      <formula>"A"</formula>
    </cfRule>
  </conditionalFormatting>
  <conditionalFormatting sqref="D6">
    <cfRule type="cellIs" dxfId="63" priority="13" operator="lessThan">
      <formula>"A"</formula>
    </cfRule>
  </conditionalFormatting>
  <conditionalFormatting sqref="Q6">
    <cfRule type="iconSet" priority="20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6">
    <cfRule type="iconSet" priority="21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J34">
    <cfRule type="cellIs" dxfId="62" priority="10" operator="equal">
      <formula>"None"</formula>
    </cfRule>
  </conditionalFormatting>
  <conditionalFormatting sqref="L34">
    <cfRule type="cellIs" dxfId="61" priority="8" operator="equal">
      <formula>"F"</formula>
    </cfRule>
    <cfRule type="cellIs" dxfId="60" priority="9" operator="equal">
      <formula>"M"</formula>
    </cfRule>
  </conditionalFormatting>
  <conditionalFormatting sqref="G34">
    <cfRule type="cellIs" dxfId="59" priority="7" operator="lessThan">
      <formula>"A"</formula>
    </cfRule>
  </conditionalFormatting>
  <conditionalFormatting sqref="D34:F34 H34">
    <cfRule type="cellIs" dxfId="58" priority="6" operator="lessThan">
      <formula>"A"</formula>
    </cfRule>
  </conditionalFormatting>
  <conditionalFormatting sqref="Q34">
    <cfRule type="iconSet" priority="11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P34">
    <cfRule type="iconSet" priority="1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C4:C66">
    <cfRule type="cellIs" dxfId="57" priority="4" operator="equal">
      <formula>"F"</formula>
    </cfRule>
    <cfRule type="cellIs" dxfId="56" priority="5" operator="equal">
      <formula>"M"</formula>
    </cfRule>
  </conditionalFormatting>
  <conditionalFormatting sqref="F39">
    <cfRule type="cellIs" dxfId="55" priority="3" operator="lessThan">
      <formula>"A"</formula>
    </cfRule>
  </conditionalFormatting>
  <conditionalFormatting sqref="F40">
    <cfRule type="cellIs" dxfId="54" priority="2" operator="lessThan">
      <formula>"A"</formula>
    </cfRule>
  </conditionalFormatting>
  <conditionalFormatting sqref="F64">
    <cfRule type="cellIs" dxfId="53" priority="1" operator="lessThan">
      <formula>"A"</formula>
    </cfRule>
  </conditionalFormatting>
  <dataValidations count="4">
    <dataValidation type="list" allowBlank="1" showInputMessage="1" showErrorMessage="1" sqref="C2" xr:uid="{00000000-0002-0000-0200-000000000000}">
      <formula1>$C$46:$C$46</formula1>
    </dataValidation>
    <dataValidation type="list" allowBlank="1" showInputMessage="1" showErrorMessage="1" sqref="C3:C66" xr:uid="{00000000-0002-0000-0200-000001000000}">
      <formula1>$C$67:$C$68</formula1>
    </dataValidation>
    <dataValidation type="list" allowBlank="1" showInputMessage="1" showErrorMessage="1" sqref="J2 J4:J66" xr:uid="{00000000-0002-0000-0200-000002000000}">
      <formula1>#REF!</formula1>
    </dataValidation>
    <dataValidation type="list" allowBlank="1" showInputMessage="1" showErrorMessage="1" sqref="M2:M66" xr:uid="{00000000-0002-0000-0200-000003000000}">
      <formula1>$K$67:$K$68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71"/>
  <sheetViews>
    <sheetView workbookViewId="0">
      <selection activeCell="E49" sqref="E49"/>
    </sheetView>
  </sheetViews>
  <sheetFormatPr defaultRowHeight="15"/>
  <cols>
    <col min="1" max="1" width="21.7109375" customWidth="1"/>
    <col min="2" max="2" width="12.140625" bestFit="1" customWidth="1"/>
    <col min="3" max="3" width="7.5703125" bestFit="1" customWidth="1"/>
    <col min="4" max="4" width="13.42578125" bestFit="1" customWidth="1"/>
    <col min="5" max="5" width="11.5703125" customWidth="1"/>
    <col min="6" max="6" width="9.85546875" bestFit="1" customWidth="1"/>
    <col min="7" max="8" width="9.7109375" bestFit="1" customWidth="1"/>
    <col min="9" max="9" width="10.140625" bestFit="1" customWidth="1"/>
    <col min="10" max="11" width="10" bestFit="1" customWidth="1"/>
  </cols>
  <sheetData>
    <row r="1" spans="1:12">
      <c r="B1" s="42">
        <v>44786</v>
      </c>
      <c r="C1" t="s">
        <v>181</v>
      </c>
    </row>
    <row r="3" spans="1:12" s="1" customFormat="1">
      <c r="A3" s="6" t="s">
        <v>1</v>
      </c>
      <c r="B3" s="6" t="s">
        <v>189</v>
      </c>
      <c r="C3" s="6" t="s">
        <v>81</v>
      </c>
      <c r="D3" s="6" t="s">
        <v>131</v>
      </c>
      <c r="E3" s="6" t="s">
        <v>87</v>
      </c>
      <c r="F3" s="28" t="s">
        <v>130</v>
      </c>
      <c r="G3" s="28" t="s">
        <v>129</v>
      </c>
      <c r="H3" s="28" t="s">
        <v>128</v>
      </c>
      <c r="I3" s="28" t="s">
        <v>127</v>
      </c>
      <c r="J3" s="28" t="s">
        <v>126</v>
      </c>
      <c r="K3" s="28" t="s">
        <v>125</v>
      </c>
      <c r="L3" s="1" t="s">
        <v>191</v>
      </c>
    </row>
    <row r="4" spans="1:12">
      <c r="A4" s="4" t="s">
        <v>163</v>
      </c>
      <c r="B4" s="13">
        <v>21276</v>
      </c>
      <c r="C4" s="4" t="s">
        <v>123</v>
      </c>
      <c r="D4" s="4">
        <f>DATEDIF(B4,$B$1,"y")</f>
        <v>64</v>
      </c>
      <c r="E4" s="4" t="str">
        <f>IF(D4&gt;59,"C", IF(D4&gt;49,"B", IF(D4&gt;39,"A","Jun or Prem")))</f>
        <v>C</v>
      </c>
      <c r="F4" s="4">
        <f>IF(AND($D4&gt;=40,$D4&lt;50,$C4="F"),1,0)</f>
        <v>0</v>
      </c>
      <c r="G4" s="4">
        <f>IF(AND($D4&gt;=50,$D4&lt;60,$C4="F"),1,0)</f>
        <v>0</v>
      </c>
      <c r="H4" s="4">
        <f>IF(AND($D4&gt;=60,$C4="F"),1,0)</f>
        <v>0</v>
      </c>
      <c r="I4" s="4">
        <f>IF(AND($D4&gt;=40,$D4&lt;50,$C4="M"),1,0)</f>
        <v>0</v>
      </c>
      <c r="J4" s="4">
        <f>IF(AND($D4&gt;=50,$D4&lt;60,$C4="M"),1,0)</f>
        <v>0</v>
      </c>
      <c r="K4" s="4">
        <f>IF(AND($D4&gt;=60,$C4="M"),1,0)</f>
        <v>1</v>
      </c>
      <c r="L4">
        <f>COUNTIF('Team List'!$D$4:$D$66, A4)</f>
        <v>1</v>
      </c>
    </row>
    <row r="5" spans="1:12">
      <c r="A5" s="4" t="s">
        <v>242</v>
      </c>
      <c r="B5" s="13">
        <v>28025</v>
      </c>
      <c r="C5" s="4" t="s">
        <v>124</v>
      </c>
      <c r="D5" s="4">
        <f t="shared" ref="D5:D66" si="0">DATEDIF(B5,$B$1,"y")</f>
        <v>45</v>
      </c>
      <c r="E5" s="4" t="str">
        <f t="shared" ref="E5:E66" si="1">IF(D5&gt;59,"C", IF(D5&gt;49,"B", IF(D5&gt;39,"A","Jun or Prem")))</f>
        <v>A</v>
      </c>
      <c r="F5" s="4">
        <f t="shared" ref="F5:F66" si="2">IF(AND($D5&gt;=40,$D5&lt;50,$C5="F"),1,0)</f>
        <v>1</v>
      </c>
      <c r="G5" s="4">
        <f t="shared" ref="G5:G66" si="3">IF(AND($D5&gt;=50,$D5&lt;60,$C5="F"),1,0)</f>
        <v>0</v>
      </c>
      <c r="H5" s="4">
        <f t="shared" ref="H5:H66" si="4">IF(AND($D5&gt;=60,$C5="F"),1,0)</f>
        <v>0</v>
      </c>
      <c r="I5" s="4">
        <f t="shared" ref="I5:I66" si="5">IF(AND($D5&gt;=40,$D5&lt;50,$C5="M"),1,0)</f>
        <v>0</v>
      </c>
      <c r="J5" s="4">
        <f t="shared" ref="J5:J66" si="6">IF(AND($D5&gt;=50,$D5&lt;60,$C5="M"),1,0)</f>
        <v>0</v>
      </c>
      <c r="K5" s="4">
        <f t="shared" ref="K5:K66" si="7">IF(AND($D5&gt;=60,$C5="M"),1,0)</f>
        <v>0</v>
      </c>
      <c r="L5">
        <f>COUNTIF('Team List'!$D$4:$D$66, A5)</f>
        <v>1</v>
      </c>
    </row>
    <row r="6" spans="1:12">
      <c r="A6" s="4" t="s">
        <v>20</v>
      </c>
      <c r="B6" s="13">
        <v>20923</v>
      </c>
      <c r="C6" s="4" t="s">
        <v>124</v>
      </c>
      <c r="D6" s="4">
        <f t="shared" si="0"/>
        <v>65</v>
      </c>
      <c r="E6" s="4" t="str">
        <f t="shared" si="1"/>
        <v>C</v>
      </c>
      <c r="F6" s="4">
        <f t="shared" si="2"/>
        <v>0</v>
      </c>
      <c r="G6" s="4">
        <f t="shared" si="3"/>
        <v>0</v>
      </c>
      <c r="H6" s="4">
        <f t="shared" si="4"/>
        <v>1</v>
      </c>
      <c r="I6" s="4">
        <f t="shared" si="5"/>
        <v>0</v>
      </c>
      <c r="J6" s="4">
        <f t="shared" si="6"/>
        <v>0</v>
      </c>
      <c r="K6" s="4">
        <f t="shared" si="7"/>
        <v>0</v>
      </c>
      <c r="L6">
        <f>COUNTIF('Team List'!$D$4:$D$66, A6)</f>
        <v>1</v>
      </c>
    </row>
    <row r="7" spans="1:12">
      <c r="A7" s="4" t="s">
        <v>160</v>
      </c>
      <c r="B7" s="13">
        <v>21914</v>
      </c>
      <c r="C7" s="4" t="s">
        <v>124</v>
      </c>
      <c r="D7" s="4">
        <f t="shared" si="0"/>
        <v>62</v>
      </c>
      <c r="E7" s="4" t="str">
        <f t="shared" si="1"/>
        <v>C</v>
      </c>
      <c r="F7" s="4">
        <f t="shared" si="2"/>
        <v>0</v>
      </c>
      <c r="G7" s="4">
        <f t="shared" si="3"/>
        <v>0</v>
      </c>
      <c r="H7" s="4">
        <f t="shared" si="4"/>
        <v>1</v>
      </c>
      <c r="I7" s="4">
        <f t="shared" si="5"/>
        <v>0</v>
      </c>
      <c r="J7" s="4">
        <f t="shared" si="6"/>
        <v>0</v>
      </c>
      <c r="K7" s="4">
        <f t="shared" si="7"/>
        <v>0</v>
      </c>
      <c r="L7">
        <f>COUNTIF('Team List'!$D$4:$D$66, A7)</f>
        <v>1</v>
      </c>
    </row>
    <row r="8" spans="1:12">
      <c r="A8" s="4" t="s">
        <v>19</v>
      </c>
      <c r="B8" s="13">
        <v>21436</v>
      </c>
      <c r="C8" s="4" t="s">
        <v>123</v>
      </c>
      <c r="D8" s="4">
        <f t="shared" si="0"/>
        <v>63</v>
      </c>
      <c r="E8" s="4" t="str">
        <f t="shared" si="1"/>
        <v>C</v>
      </c>
      <c r="F8" s="4">
        <f t="shared" si="2"/>
        <v>0</v>
      </c>
      <c r="G8" s="4">
        <f t="shared" si="3"/>
        <v>0</v>
      </c>
      <c r="H8" s="4">
        <f t="shared" si="4"/>
        <v>0</v>
      </c>
      <c r="I8" s="4">
        <f t="shared" si="5"/>
        <v>0</v>
      </c>
      <c r="J8" s="4">
        <f t="shared" si="6"/>
        <v>0</v>
      </c>
      <c r="K8" s="4">
        <f t="shared" si="7"/>
        <v>1</v>
      </c>
      <c r="L8">
        <f>COUNTIF('Team List'!$D$4:$D$66, A8)</f>
        <v>1</v>
      </c>
    </row>
    <row r="9" spans="1:12">
      <c r="A9" s="4" t="s">
        <v>153</v>
      </c>
      <c r="B9" s="13">
        <v>21478</v>
      </c>
      <c r="C9" s="4" t="s">
        <v>124</v>
      </c>
      <c r="D9" s="4">
        <f t="shared" si="0"/>
        <v>63</v>
      </c>
      <c r="E9" s="4" t="str">
        <f t="shared" si="1"/>
        <v>C</v>
      </c>
      <c r="F9" s="4">
        <f t="shared" si="2"/>
        <v>0</v>
      </c>
      <c r="G9" s="4">
        <f t="shared" si="3"/>
        <v>0</v>
      </c>
      <c r="H9" s="4">
        <f t="shared" si="4"/>
        <v>1</v>
      </c>
      <c r="I9" s="4">
        <f t="shared" si="5"/>
        <v>0</v>
      </c>
      <c r="J9" s="4">
        <f t="shared" si="6"/>
        <v>0</v>
      </c>
      <c r="K9" s="4">
        <f t="shared" si="7"/>
        <v>0</v>
      </c>
      <c r="L9">
        <f>COUNTIF('Team List'!$D$4:$D$66, A9)</f>
        <v>1</v>
      </c>
    </row>
    <row r="10" spans="1:12">
      <c r="A10" s="4" t="s">
        <v>83</v>
      </c>
      <c r="B10" s="13">
        <v>21822</v>
      </c>
      <c r="C10" s="4" t="s">
        <v>123</v>
      </c>
      <c r="D10" s="4">
        <f t="shared" si="0"/>
        <v>62</v>
      </c>
      <c r="E10" s="4" t="str">
        <f t="shared" si="1"/>
        <v>C</v>
      </c>
      <c r="F10" s="4">
        <f t="shared" si="2"/>
        <v>0</v>
      </c>
      <c r="G10" s="4">
        <f t="shared" si="3"/>
        <v>0</v>
      </c>
      <c r="H10" s="4">
        <f t="shared" si="4"/>
        <v>0</v>
      </c>
      <c r="I10" s="4">
        <f t="shared" si="5"/>
        <v>0</v>
      </c>
      <c r="J10" s="4">
        <f t="shared" si="6"/>
        <v>0</v>
      </c>
      <c r="K10" s="4">
        <f t="shared" si="7"/>
        <v>1</v>
      </c>
      <c r="L10">
        <f>COUNTIF('Team List'!$D$4:$D$66, A10)</f>
        <v>1</v>
      </c>
    </row>
    <row r="11" spans="1:12">
      <c r="A11" s="4" t="s">
        <v>152</v>
      </c>
      <c r="B11" s="13">
        <v>22181</v>
      </c>
      <c r="C11" s="4" t="s">
        <v>124</v>
      </c>
      <c r="D11" s="4">
        <f t="shared" si="0"/>
        <v>61</v>
      </c>
      <c r="E11" s="4" t="str">
        <f t="shared" si="1"/>
        <v>C</v>
      </c>
      <c r="F11" s="4">
        <f t="shared" si="2"/>
        <v>0</v>
      </c>
      <c r="G11" s="4">
        <f t="shared" si="3"/>
        <v>0</v>
      </c>
      <c r="H11" s="4">
        <f t="shared" si="4"/>
        <v>1</v>
      </c>
      <c r="I11" s="4">
        <f t="shared" si="5"/>
        <v>0</v>
      </c>
      <c r="J11" s="4">
        <f t="shared" si="6"/>
        <v>0</v>
      </c>
      <c r="K11" s="4">
        <f t="shared" si="7"/>
        <v>0</v>
      </c>
      <c r="L11">
        <f>COUNTIF('Team List'!$D$4:$D$66, A11)</f>
        <v>1</v>
      </c>
    </row>
    <row r="12" spans="1:12">
      <c r="A12" s="4" t="s">
        <v>243</v>
      </c>
      <c r="B12" s="13">
        <v>21698</v>
      </c>
      <c r="C12" s="4" t="s">
        <v>123</v>
      </c>
      <c r="D12" s="4">
        <f t="shared" si="0"/>
        <v>63</v>
      </c>
      <c r="E12" s="4" t="str">
        <f t="shared" si="1"/>
        <v>C</v>
      </c>
      <c r="F12" s="4">
        <f t="shared" si="2"/>
        <v>0</v>
      </c>
      <c r="G12" s="4">
        <f t="shared" si="3"/>
        <v>0</v>
      </c>
      <c r="H12" s="4">
        <f t="shared" si="4"/>
        <v>0</v>
      </c>
      <c r="I12" s="4">
        <f t="shared" si="5"/>
        <v>0</v>
      </c>
      <c r="J12" s="4">
        <f t="shared" si="6"/>
        <v>0</v>
      </c>
      <c r="K12" s="4">
        <f t="shared" si="7"/>
        <v>1</v>
      </c>
      <c r="L12">
        <f>COUNTIF('Team List'!$D$4:$D$66, A12)</f>
        <v>1</v>
      </c>
    </row>
    <row r="13" spans="1:12">
      <c r="A13" s="4" t="s">
        <v>165</v>
      </c>
      <c r="B13" s="13">
        <v>23622</v>
      </c>
      <c r="C13" s="4" t="s">
        <v>124</v>
      </c>
      <c r="D13" s="4">
        <f t="shared" si="0"/>
        <v>57</v>
      </c>
      <c r="E13" s="4" t="str">
        <f t="shared" si="1"/>
        <v>B</v>
      </c>
      <c r="F13" s="4">
        <f t="shared" si="2"/>
        <v>0</v>
      </c>
      <c r="G13" s="4">
        <f t="shared" si="3"/>
        <v>1</v>
      </c>
      <c r="H13" s="4">
        <f t="shared" si="4"/>
        <v>0</v>
      </c>
      <c r="I13" s="4">
        <f t="shared" si="5"/>
        <v>0</v>
      </c>
      <c r="J13" s="4">
        <f t="shared" si="6"/>
        <v>0</v>
      </c>
      <c r="K13" s="4">
        <f t="shared" si="7"/>
        <v>0</v>
      </c>
      <c r="L13">
        <f>COUNTIF('Team List'!$D$4:$D$66, A13)</f>
        <v>1</v>
      </c>
    </row>
    <row r="14" spans="1:12">
      <c r="A14" s="4" t="s">
        <v>162</v>
      </c>
      <c r="B14" s="13">
        <v>20632</v>
      </c>
      <c r="C14" s="4" t="s">
        <v>124</v>
      </c>
      <c r="D14" s="4">
        <f t="shared" si="0"/>
        <v>66</v>
      </c>
      <c r="E14" s="4" t="str">
        <f t="shared" si="1"/>
        <v>C</v>
      </c>
      <c r="F14" s="4">
        <f t="shared" si="2"/>
        <v>0</v>
      </c>
      <c r="G14" s="4">
        <f t="shared" si="3"/>
        <v>0</v>
      </c>
      <c r="H14" s="4">
        <f t="shared" si="4"/>
        <v>1</v>
      </c>
      <c r="I14" s="4">
        <f t="shared" si="5"/>
        <v>0</v>
      </c>
      <c r="J14" s="4">
        <f t="shared" si="6"/>
        <v>0</v>
      </c>
      <c r="K14" s="4">
        <f t="shared" si="7"/>
        <v>0</v>
      </c>
      <c r="L14">
        <f>COUNTIF('Team List'!$D$4:$D$66, A14)</f>
        <v>1</v>
      </c>
    </row>
    <row r="15" spans="1:12">
      <c r="A15" s="4" t="s">
        <v>223</v>
      </c>
      <c r="B15" s="13">
        <v>21387</v>
      </c>
      <c r="C15" s="4" t="s">
        <v>124</v>
      </c>
      <c r="D15" s="4">
        <f t="shared" si="0"/>
        <v>64</v>
      </c>
      <c r="E15" s="4" t="str">
        <f t="shared" si="1"/>
        <v>C</v>
      </c>
      <c r="F15" s="4">
        <f t="shared" si="2"/>
        <v>0</v>
      </c>
      <c r="G15" s="4">
        <f t="shared" si="3"/>
        <v>0</v>
      </c>
      <c r="H15" s="4">
        <f t="shared" si="4"/>
        <v>1</v>
      </c>
      <c r="I15" s="4">
        <f t="shared" si="5"/>
        <v>0</v>
      </c>
      <c r="J15" s="4">
        <f t="shared" si="6"/>
        <v>0</v>
      </c>
      <c r="K15" s="4">
        <f t="shared" si="7"/>
        <v>0</v>
      </c>
      <c r="L15">
        <f>COUNTIF('Team List'!$D$4:$D$66, A15)</f>
        <v>1</v>
      </c>
    </row>
    <row r="16" spans="1:12">
      <c r="A16" s="4" t="s">
        <v>151</v>
      </c>
      <c r="B16" s="13">
        <v>17233</v>
      </c>
      <c r="C16" s="4" t="s">
        <v>124</v>
      </c>
      <c r="D16" s="4">
        <f t="shared" si="0"/>
        <v>75</v>
      </c>
      <c r="E16" s="4" t="str">
        <f t="shared" si="1"/>
        <v>C</v>
      </c>
      <c r="F16" s="4">
        <f t="shared" si="2"/>
        <v>0</v>
      </c>
      <c r="G16" s="4">
        <f t="shared" si="3"/>
        <v>0</v>
      </c>
      <c r="H16" s="4">
        <f t="shared" si="4"/>
        <v>1</v>
      </c>
      <c r="I16" s="4">
        <f t="shared" si="5"/>
        <v>0</v>
      </c>
      <c r="J16" s="4">
        <f t="shared" si="6"/>
        <v>0</v>
      </c>
      <c r="K16" s="4">
        <f t="shared" si="7"/>
        <v>0</v>
      </c>
      <c r="L16">
        <f>COUNTIF('Team List'!$D$4:$D$66, A16)</f>
        <v>1</v>
      </c>
    </row>
    <row r="17" spans="1:12">
      <c r="A17" s="4" t="s">
        <v>247</v>
      </c>
      <c r="B17" s="13">
        <v>21689</v>
      </c>
      <c r="C17" s="4" t="s">
        <v>124</v>
      </c>
      <c r="D17" s="4">
        <f t="shared" si="0"/>
        <v>63</v>
      </c>
      <c r="E17" s="4" t="str">
        <f t="shared" si="1"/>
        <v>C</v>
      </c>
      <c r="F17" s="4">
        <f t="shared" si="2"/>
        <v>0</v>
      </c>
      <c r="G17" s="4">
        <f t="shared" si="3"/>
        <v>0</v>
      </c>
      <c r="H17" s="4">
        <f t="shared" si="4"/>
        <v>1</v>
      </c>
      <c r="I17" s="4">
        <f t="shared" si="5"/>
        <v>0</v>
      </c>
      <c r="J17" s="4">
        <f t="shared" si="6"/>
        <v>0</v>
      </c>
      <c r="K17" s="4">
        <f t="shared" si="7"/>
        <v>0</v>
      </c>
      <c r="L17">
        <f>COUNTIF('Team List'!$D$4:$D$66, A17)</f>
        <v>1</v>
      </c>
    </row>
    <row r="18" spans="1:12">
      <c r="A18" s="4" t="s">
        <v>249</v>
      </c>
      <c r="B18" s="13">
        <v>28280</v>
      </c>
      <c r="C18" s="4" t="s">
        <v>124</v>
      </c>
      <c r="D18" s="4">
        <f t="shared" si="0"/>
        <v>45</v>
      </c>
      <c r="E18" s="4" t="str">
        <f t="shared" si="1"/>
        <v>A</v>
      </c>
      <c r="F18" s="4">
        <f t="shared" si="2"/>
        <v>1</v>
      </c>
      <c r="G18" s="4">
        <f t="shared" si="3"/>
        <v>0</v>
      </c>
      <c r="H18" s="4">
        <f t="shared" si="4"/>
        <v>0</v>
      </c>
      <c r="I18" s="4">
        <f t="shared" si="5"/>
        <v>0</v>
      </c>
      <c r="J18" s="4">
        <f t="shared" si="6"/>
        <v>0</v>
      </c>
      <c r="K18" s="4">
        <f t="shared" si="7"/>
        <v>0</v>
      </c>
      <c r="L18">
        <f>COUNTIF('Team List'!$D$4:$D$66, A18)</f>
        <v>1</v>
      </c>
    </row>
    <row r="19" spans="1:12">
      <c r="A19" s="4" t="s">
        <v>224</v>
      </c>
      <c r="B19" s="13">
        <v>20901</v>
      </c>
      <c r="C19" s="4" t="s">
        <v>124</v>
      </c>
      <c r="D19" s="4">
        <f t="shared" si="0"/>
        <v>65</v>
      </c>
      <c r="E19" s="4" t="str">
        <f t="shared" si="1"/>
        <v>C</v>
      </c>
      <c r="F19" s="4">
        <f t="shared" si="2"/>
        <v>0</v>
      </c>
      <c r="G19" s="4">
        <f t="shared" si="3"/>
        <v>0</v>
      </c>
      <c r="H19" s="4">
        <f t="shared" si="4"/>
        <v>1</v>
      </c>
      <c r="I19" s="4">
        <f t="shared" si="5"/>
        <v>0</v>
      </c>
      <c r="J19" s="4">
        <f t="shared" si="6"/>
        <v>0</v>
      </c>
      <c r="K19" s="4">
        <f t="shared" si="7"/>
        <v>0</v>
      </c>
      <c r="L19">
        <f>COUNTIF('Team List'!$D$4:$D$66, A19)</f>
        <v>1</v>
      </c>
    </row>
    <row r="20" spans="1:12">
      <c r="A20" s="4" t="s">
        <v>22</v>
      </c>
      <c r="B20" s="13">
        <v>22151</v>
      </c>
      <c r="C20" s="4" t="s">
        <v>124</v>
      </c>
      <c r="D20" s="4">
        <f t="shared" si="0"/>
        <v>61</v>
      </c>
      <c r="E20" s="4" t="str">
        <f t="shared" si="1"/>
        <v>C</v>
      </c>
      <c r="F20" s="4">
        <f t="shared" si="2"/>
        <v>0</v>
      </c>
      <c r="G20" s="4">
        <f t="shared" si="3"/>
        <v>0</v>
      </c>
      <c r="H20" s="4">
        <f t="shared" si="4"/>
        <v>1</v>
      </c>
      <c r="I20" s="4">
        <f t="shared" si="5"/>
        <v>0</v>
      </c>
      <c r="J20" s="4">
        <f t="shared" si="6"/>
        <v>0</v>
      </c>
      <c r="K20" s="4">
        <f t="shared" si="7"/>
        <v>0</v>
      </c>
      <c r="L20">
        <f>COUNTIF('Team List'!$D$4:$D$66, A20)</f>
        <v>1</v>
      </c>
    </row>
    <row r="21" spans="1:12">
      <c r="A21" s="4" t="s">
        <v>150</v>
      </c>
      <c r="B21" s="13">
        <v>16992</v>
      </c>
      <c r="C21" s="4" t="s">
        <v>124</v>
      </c>
      <c r="D21" s="4">
        <f t="shared" si="0"/>
        <v>76</v>
      </c>
      <c r="E21" s="4" t="str">
        <f t="shared" si="1"/>
        <v>C</v>
      </c>
      <c r="F21" s="4">
        <f t="shared" si="2"/>
        <v>0</v>
      </c>
      <c r="G21" s="4">
        <f t="shared" si="3"/>
        <v>0</v>
      </c>
      <c r="H21" s="4">
        <f t="shared" si="4"/>
        <v>1</v>
      </c>
      <c r="I21" s="4">
        <f t="shared" si="5"/>
        <v>0</v>
      </c>
      <c r="J21" s="4">
        <f t="shared" si="6"/>
        <v>0</v>
      </c>
      <c r="K21" s="4">
        <f t="shared" si="7"/>
        <v>0</v>
      </c>
      <c r="L21">
        <f>COUNTIF('Team List'!$D$4:$D$66, A21)</f>
        <v>1</v>
      </c>
    </row>
    <row r="22" spans="1:12">
      <c r="A22" s="4" t="s">
        <v>149</v>
      </c>
      <c r="B22" s="13">
        <v>17576</v>
      </c>
      <c r="C22" s="4" t="s">
        <v>123</v>
      </c>
      <c r="D22" s="4">
        <f t="shared" si="0"/>
        <v>74</v>
      </c>
      <c r="E22" s="4" t="str">
        <f t="shared" si="1"/>
        <v>C</v>
      </c>
      <c r="F22" s="4">
        <f t="shared" si="2"/>
        <v>0</v>
      </c>
      <c r="G22" s="4">
        <f t="shared" si="3"/>
        <v>0</v>
      </c>
      <c r="H22" s="4">
        <f t="shared" si="4"/>
        <v>0</v>
      </c>
      <c r="I22" s="4">
        <f t="shared" si="5"/>
        <v>0</v>
      </c>
      <c r="J22" s="4">
        <f t="shared" si="6"/>
        <v>0</v>
      </c>
      <c r="K22" s="4">
        <f t="shared" si="7"/>
        <v>1</v>
      </c>
      <c r="L22">
        <f>COUNTIF('Team List'!$D$4:$D$66, A22)</f>
        <v>1</v>
      </c>
    </row>
    <row r="23" spans="1:12">
      <c r="A23" s="4" t="s">
        <v>158</v>
      </c>
      <c r="B23" s="13">
        <v>19324</v>
      </c>
      <c r="C23" s="4" t="s">
        <v>124</v>
      </c>
      <c r="D23" s="4">
        <f t="shared" si="0"/>
        <v>69</v>
      </c>
      <c r="E23" s="4" t="str">
        <f t="shared" si="1"/>
        <v>C</v>
      </c>
      <c r="F23" s="4">
        <f t="shared" si="2"/>
        <v>0</v>
      </c>
      <c r="G23" s="4">
        <f t="shared" si="3"/>
        <v>0</v>
      </c>
      <c r="H23" s="4">
        <f t="shared" si="4"/>
        <v>1</v>
      </c>
      <c r="I23" s="4">
        <f t="shared" si="5"/>
        <v>0</v>
      </c>
      <c r="J23" s="4">
        <f t="shared" si="6"/>
        <v>0</v>
      </c>
      <c r="K23" s="4">
        <f t="shared" si="7"/>
        <v>0</v>
      </c>
      <c r="L23">
        <f>COUNTIF('Team List'!$D$4:$D$66, A23)</f>
        <v>1</v>
      </c>
    </row>
    <row r="24" spans="1:12">
      <c r="A24" s="4" t="s">
        <v>197</v>
      </c>
      <c r="B24" s="13">
        <v>23776</v>
      </c>
      <c r="C24" s="4" t="s">
        <v>123</v>
      </c>
      <c r="D24" s="4">
        <f t="shared" si="0"/>
        <v>57</v>
      </c>
      <c r="E24" s="4" t="str">
        <f t="shared" si="1"/>
        <v>B</v>
      </c>
      <c r="F24" s="4">
        <f t="shared" si="2"/>
        <v>0</v>
      </c>
      <c r="G24" s="4">
        <f t="shared" si="3"/>
        <v>0</v>
      </c>
      <c r="H24" s="4">
        <f t="shared" si="4"/>
        <v>0</v>
      </c>
      <c r="I24" s="4">
        <f t="shared" si="5"/>
        <v>0</v>
      </c>
      <c r="J24" s="4">
        <f t="shared" si="6"/>
        <v>1</v>
      </c>
      <c r="K24" s="4">
        <f t="shared" si="7"/>
        <v>0</v>
      </c>
      <c r="L24">
        <f>COUNTIF('Team List'!$D$4:$D$66, A24)</f>
        <v>1</v>
      </c>
    </row>
    <row r="25" spans="1:12">
      <c r="A25" s="4" t="s">
        <v>154</v>
      </c>
      <c r="B25" s="13">
        <v>18595</v>
      </c>
      <c r="C25" s="4" t="s">
        <v>124</v>
      </c>
      <c r="D25" s="4">
        <f t="shared" si="0"/>
        <v>71</v>
      </c>
      <c r="E25" s="4" t="str">
        <f t="shared" si="1"/>
        <v>C</v>
      </c>
      <c r="F25" s="4">
        <f t="shared" si="2"/>
        <v>0</v>
      </c>
      <c r="G25" s="4">
        <f t="shared" si="3"/>
        <v>0</v>
      </c>
      <c r="H25" s="4">
        <f t="shared" si="4"/>
        <v>1</v>
      </c>
      <c r="I25" s="4">
        <f t="shared" si="5"/>
        <v>0</v>
      </c>
      <c r="J25" s="4">
        <f t="shared" si="6"/>
        <v>0</v>
      </c>
      <c r="K25" s="4">
        <f t="shared" si="7"/>
        <v>0</v>
      </c>
      <c r="L25">
        <f>COUNTIF('Team List'!$D$4:$D$66, A25)</f>
        <v>1</v>
      </c>
    </row>
    <row r="26" spans="1:12">
      <c r="A26" s="4" t="s">
        <v>252</v>
      </c>
      <c r="B26" s="13">
        <v>20362</v>
      </c>
      <c r="C26" s="4" t="s">
        <v>123</v>
      </c>
      <c r="D26" s="4">
        <f t="shared" si="0"/>
        <v>66</v>
      </c>
      <c r="E26" s="4" t="str">
        <f t="shared" si="1"/>
        <v>C</v>
      </c>
      <c r="F26" s="4">
        <f t="shared" si="2"/>
        <v>0</v>
      </c>
      <c r="G26" s="4">
        <f t="shared" si="3"/>
        <v>0</v>
      </c>
      <c r="H26" s="4">
        <f t="shared" si="4"/>
        <v>0</v>
      </c>
      <c r="I26" s="4">
        <f t="shared" si="5"/>
        <v>0</v>
      </c>
      <c r="J26" s="4">
        <f t="shared" si="6"/>
        <v>0</v>
      </c>
      <c r="K26" s="4">
        <f t="shared" si="7"/>
        <v>1</v>
      </c>
      <c r="L26">
        <f>COUNTIF('Team List'!$D$4:$D$66, A26)</f>
        <v>1</v>
      </c>
    </row>
    <row r="27" spans="1:12">
      <c r="A27" s="4" t="s">
        <v>157</v>
      </c>
      <c r="B27" s="13">
        <v>18349</v>
      </c>
      <c r="C27" s="4" t="s">
        <v>124</v>
      </c>
      <c r="D27" s="4">
        <f t="shared" si="0"/>
        <v>72</v>
      </c>
      <c r="E27" s="4" t="str">
        <f t="shared" si="1"/>
        <v>C</v>
      </c>
      <c r="F27" s="4">
        <f t="shared" si="2"/>
        <v>0</v>
      </c>
      <c r="G27" s="4">
        <f t="shared" si="3"/>
        <v>0</v>
      </c>
      <c r="H27" s="4">
        <f t="shared" si="4"/>
        <v>1</v>
      </c>
      <c r="I27" s="4">
        <f t="shared" si="5"/>
        <v>0</v>
      </c>
      <c r="J27" s="4">
        <f t="shared" si="6"/>
        <v>0</v>
      </c>
      <c r="K27" s="4">
        <f t="shared" si="7"/>
        <v>0</v>
      </c>
      <c r="L27">
        <f>COUNTIF('Team List'!$D$4:$D$66, A27)</f>
        <v>1</v>
      </c>
    </row>
    <row r="28" spans="1:12">
      <c r="A28" s="4" t="s">
        <v>148</v>
      </c>
      <c r="B28" s="13">
        <v>18467</v>
      </c>
      <c r="C28" s="4" t="s">
        <v>124</v>
      </c>
      <c r="D28" s="4">
        <f t="shared" si="0"/>
        <v>72</v>
      </c>
      <c r="E28" s="4" t="str">
        <f t="shared" si="1"/>
        <v>C</v>
      </c>
      <c r="F28" s="4">
        <f t="shared" si="2"/>
        <v>0</v>
      </c>
      <c r="G28" s="4">
        <f t="shared" si="3"/>
        <v>0</v>
      </c>
      <c r="H28" s="4">
        <f t="shared" si="4"/>
        <v>1</v>
      </c>
      <c r="I28" s="4">
        <f t="shared" si="5"/>
        <v>0</v>
      </c>
      <c r="J28" s="4">
        <f t="shared" si="6"/>
        <v>0</v>
      </c>
      <c r="K28" s="4">
        <f t="shared" si="7"/>
        <v>0</v>
      </c>
      <c r="L28">
        <f>COUNTIF('Team List'!$D$4:$D$66, A28)</f>
        <v>0</v>
      </c>
    </row>
    <row r="29" spans="1:12">
      <c r="A29" s="4" t="s">
        <v>147</v>
      </c>
      <c r="B29" s="13">
        <v>21848</v>
      </c>
      <c r="C29" s="4" t="s">
        <v>124</v>
      </c>
      <c r="D29" s="4">
        <f t="shared" si="0"/>
        <v>62</v>
      </c>
      <c r="E29" s="4" t="str">
        <f t="shared" si="1"/>
        <v>C</v>
      </c>
      <c r="F29" s="4">
        <f t="shared" si="2"/>
        <v>0</v>
      </c>
      <c r="G29" s="4">
        <f t="shared" si="3"/>
        <v>0</v>
      </c>
      <c r="H29" s="4">
        <f t="shared" si="4"/>
        <v>1</v>
      </c>
      <c r="I29" s="4">
        <f t="shared" si="5"/>
        <v>0</v>
      </c>
      <c r="J29" s="4">
        <f t="shared" si="6"/>
        <v>0</v>
      </c>
      <c r="K29" s="4">
        <f t="shared" si="7"/>
        <v>0</v>
      </c>
      <c r="L29">
        <f>COUNTIF('Team List'!$D$4:$D$66, A29)</f>
        <v>1</v>
      </c>
    </row>
    <row r="30" spans="1:12">
      <c r="A30" s="4" t="s">
        <v>146</v>
      </c>
      <c r="B30" s="13">
        <v>20237</v>
      </c>
      <c r="C30" s="4" t="s">
        <v>124</v>
      </c>
      <c r="D30" s="4">
        <f t="shared" si="0"/>
        <v>67</v>
      </c>
      <c r="E30" s="4" t="str">
        <f t="shared" si="1"/>
        <v>C</v>
      </c>
      <c r="F30" s="4">
        <f t="shared" si="2"/>
        <v>0</v>
      </c>
      <c r="G30" s="4">
        <f t="shared" si="3"/>
        <v>0</v>
      </c>
      <c r="H30" s="4">
        <f t="shared" si="4"/>
        <v>1</v>
      </c>
      <c r="I30" s="4">
        <f t="shared" si="5"/>
        <v>0</v>
      </c>
      <c r="J30" s="4">
        <f t="shared" si="6"/>
        <v>0</v>
      </c>
      <c r="K30" s="4">
        <f t="shared" si="7"/>
        <v>0</v>
      </c>
      <c r="L30">
        <f>COUNTIF('Team List'!$D$4:$D$66, A30)</f>
        <v>1</v>
      </c>
    </row>
    <row r="31" spans="1:12">
      <c r="A31" s="4" t="s">
        <v>251</v>
      </c>
      <c r="B31" s="13">
        <v>26481</v>
      </c>
      <c r="C31" s="4" t="s">
        <v>123</v>
      </c>
      <c r="D31" s="4">
        <f t="shared" si="0"/>
        <v>50</v>
      </c>
      <c r="E31" s="4" t="str">
        <f t="shared" si="1"/>
        <v>B</v>
      </c>
      <c r="F31" s="4">
        <f t="shared" si="2"/>
        <v>0</v>
      </c>
      <c r="G31" s="4">
        <f t="shared" si="3"/>
        <v>0</v>
      </c>
      <c r="H31" s="4">
        <f t="shared" si="4"/>
        <v>0</v>
      </c>
      <c r="I31" s="4">
        <f t="shared" si="5"/>
        <v>0</v>
      </c>
      <c r="J31" s="4">
        <f t="shared" si="6"/>
        <v>1</v>
      </c>
      <c r="K31" s="4">
        <f t="shared" si="7"/>
        <v>0</v>
      </c>
      <c r="L31">
        <f>COUNTIF('Team List'!$D$4:$D$66, A31)</f>
        <v>1</v>
      </c>
    </row>
    <row r="32" spans="1:12">
      <c r="A32" s="4" t="s">
        <v>227</v>
      </c>
      <c r="B32" s="13">
        <v>25131</v>
      </c>
      <c r="C32" s="4" t="s">
        <v>123</v>
      </c>
      <c r="D32" s="4">
        <f t="shared" si="0"/>
        <v>53</v>
      </c>
      <c r="E32" s="4" t="str">
        <f t="shared" si="1"/>
        <v>B</v>
      </c>
      <c r="F32" s="4">
        <f t="shared" si="2"/>
        <v>0</v>
      </c>
      <c r="G32" s="4">
        <f t="shared" si="3"/>
        <v>0</v>
      </c>
      <c r="H32" s="4">
        <f t="shared" si="4"/>
        <v>0</v>
      </c>
      <c r="I32" s="4">
        <f t="shared" si="5"/>
        <v>0</v>
      </c>
      <c r="J32" s="4">
        <f t="shared" si="6"/>
        <v>1</v>
      </c>
      <c r="K32" s="4">
        <f t="shared" si="7"/>
        <v>0</v>
      </c>
      <c r="L32">
        <f>COUNTIF('Team List'!$D$4:$D$66, A32)</f>
        <v>1</v>
      </c>
    </row>
    <row r="33" spans="1:12">
      <c r="A33" s="4" t="s">
        <v>215</v>
      </c>
      <c r="B33" s="13">
        <v>18550</v>
      </c>
      <c r="C33" s="4" t="s">
        <v>123</v>
      </c>
      <c r="D33" s="4">
        <f t="shared" si="0"/>
        <v>71</v>
      </c>
      <c r="E33" s="4" t="str">
        <f t="shared" si="1"/>
        <v>C</v>
      </c>
      <c r="F33" s="4">
        <f t="shared" si="2"/>
        <v>0</v>
      </c>
      <c r="G33" s="4">
        <f t="shared" si="3"/>
        <v>0</v>
      </c>
      <c r="H33" s="4">
        <f t="shared" si="4"/>
        <v>0</v>
      </c>
      <c r="I33" s="4">
        <f t="shared" si="5"/>
        <v>0</v>
      </c>
      <c r="J33" s="4">
        <f t="shared" si="6"/>
        <v>0</v>
      </c>
      <c r="K33" s="4">
        <f t="shared" si="7"/>
        <v>1</v>
      </c>
      <c r="L33">
        <f>COUNTIF('Team List'!$D$4:$D$66, A33)</f>
        <v>1</v>
      </c>
    </row>
    <row r="34" spans="1:12">
      <c r="A34" s="4" t="s">
        <v>145</v>
      </c>
      <c r="B34" s="13">
        <v>19364</v>
      </c>
      <c r="C34" s="4" t="s">
        <v>123</v>
      </c>
      <c r="D34" s="4">
        <f t="shared" si="0"/>
        <v>69</v>
      </c>
      <c r="E34" s="4" t="str">
        <f t="shared" si="1"/>
        <v>C</v>
      </c>
      <c r="F34" s="4">
        <f t="shared" si="2"/>
        <v>0</v>
      </c>
      <c r="G34" s="4">
        <f t="shared" si="3"/>
        <v>0</v>
      </c>
      <c r="H34" s="4">
        <f t="shared" si="4"/>
        <v>0</v>
      </c>
      <c r="I34" s="4">
        <f t="shared" si="5"/>
        <v>0</v>
      </c>
      <c r="J34" s="4">
        <f t="shared" si="6"/>
        <v>0</v>
      </c>
      <c r="K34" s="4">
        <f t="shared" si="7"/>
        <v>1</v>
      </c>
      <c r="L34">
        <f>COUNTIF('Team List'!$D$4:$D$66, A34)</f>
        <v>1</v>
      </c>
    </row>
    <row r="35" spans="1:12">
      <c r="A35" s="4" t="s">
        <v>164</v>
      </c>
      <c r="B35" s="13">
        <v>23475</v>
      </c>
      <c r="C35" s="4" t="s">
        <v>124</v>
      </c>
      <c r="D35" s="4">
        <f t="shared" si="0"/>
        <v>58</v>
      </c>
      <c r="E35" s="4" t="str">
        <f t="shared" si="1"/>
        <v>B</v>
      </c>
      <c r="F35" s="4">
        <f t="shared" si="2"/>
        <v>0</v>
      </c>
      <c r="G35" s="4">
        <f t="shared" si="3"/>
        <v>1</v>
      </c>
      <c r="H35" s="4">
        <f t="shared" si="4"/>
        <v>0</v>
      </c>
      <c r="I35" s="4">
        <f t="shared" si="5"/>
        <v>0</v>
      </c>
      <c r="J35" s="4">
        <f t="shared" si="6"/>
        <v>0</v>
      </c>
      <c r="K35" s="4">
        <f t="shared" si="7"/>
        <v>0</v>
      </c>
      <c r="L35">
        <f>COUNTIF('Team List'!$D$4:$D$66, A35)</f>
        <v>1</v>
      </c>
    </row>
    <row r="36" spans="1:12">
      <c r="A36" s="4" t="s">
        <v>230</v>
      </c>
      <c r="B36" s="13">
        <v>19525</v>
      </c>
      <c r="C36" s="4" t="s">
        <v>123</v>
      </c>
      <c r="D36" s="4">
        <f t="shared" si="0"/>
        <v>69</v>
      </c>
      <c r="E36" s="4" t="str">
        <f t="shared" si="1"/>
        <v>C</v>
      </c>
      <c r="F36" s="4">
        <f t="shared" si="2"/>
        <v>0</v>
      </c>
      <c r="G36" s="4">
        <f t="shared" si="3"/>
        <v>0</v>
      </c>
      <c r="H36" s="4">
        <f t="shared" si="4"/>
        <v>0</v>
      </c>
      <c r="I36" s="4">
        <f t="shared" si="5"/>
        <v>0</v>
      </c>
      <c r="J36" s="4">
        <f t="shared" si="6"/>
        <v>0</v>
      </c>
      <c r="K36" s="4">
        <f t="shared" si="7"/>
        <v>1</v>
      </c>
      <c r="L36">
        <f>COUNTIF('Team List'!$D$4:$D$66, A36)</f>
        <v>1</v>
      </c>
    </row>
    <row r="37" spans="1:12">
      <c r="A37" s="4" t="s">
        <v>132</v>
      </c>
      <c r="B37" s="13">
        <v>18691</v>
      </c>
      <c r="C37" s="4" t="s">
        <v>124</v>
      </c>
      <c r="D37" s="4">
        <f t="shared" si="0"/>
        <v>71</v>
      </c>
      <c r="E37" s="4" t="str">
        <f t="shared" si="1"/>
        <v>C</v>
      </c>
      <c r="F37" s="4">
        <f t="shared" si="2"/>
        <v>0</v>
      </c>
      <c r="G37" s="4">
        <f t="shared" si="3"/>
        <v>0</v>
      </c>
      <c r="H37" s="4">
        <f t="shared" si="4"/>
        <v>1</v>
      </c>
      <c r="I37" s="4">
        <f t="shared" si="5"/>
        <v>0</v>
      </c>
      <c r="J37" s="4">
        <f t="shared" si="6"/>
        <v>0</v>
      </c>
      <c r="K37" s="4">
        <f t="shared" si="7"/>
        <v>0</v>
      </c>
      <c r="L37">
        <f>COUNTIF('Team List'!$D$4:$D$66, A37)</f>
        <v>1</v>
      </c>
    </row>
    <row r="38" spans="1:12">
      <c r="A38" s="4" t="s">
        <v>92</v>
      </c>
      <c r="B38" s="13">
        <v>17344</v>
      </c>
      <c r="C38" s="4" t="s">
        <v>123</v>
      </c>
      <c r="D38" s="4">
        <f t="shared" si="0"/>
        <v>75</v>
      </c>
      <c r="E38" s="4" t="str">
        <f t="shared" si="1"/>
        <v>C</v>
      </c>
      <c r="F38" s="4">
        <f t="shared" si="2"/>
        <v>0</v>
      </c>
      <c r="G38" s="4">
        <f t="shared" si="3"/>
        <v>0</v>
      </c>
      <c r="H38" s="4">
        <f t="shared" si="4"/>
        <v>0</v>
      </c>
      <c r="I38" s="4">
        <f t="shared" si="5"/>
        <v>0</v>
      </c>
      <c r="J38" s="4">
        <f t="shared" si="6"/>
        <v>0</v>
      </c>
      <c r="K38" s="4">
        <f t="shared" si="7"/>
        <v>1</v>
      </c>
      <c r="L38">
        <f>COUNTIF('Team List'!$D$4:$D$66, A38)</f>
        <v>1</v>
      </c>
    </row>
    <row r="39" spans="1:12">
      <c r="A39" s="4" t="s">
        <v>156</v>
      </c>
      <c r="B39" s="13">
        <v>20348</v>
      </c>
      <c r="C39" s="4" t="s">
        <v>123</v>
      </c>
      <c r="D39" s="4">
        <f t="shared" si="0"/>
        <v>66</v>
      </c>
      <c r="E39" s="4" t="str">
        <f t="shared" si="1"/>
        <v>C</v>
      </c>
      <c r="F39" s="4">
        <f t="shared" si="2"/>
        <v>0</v>
      </c>
      <c r="G39" s="4">
        <f t="shared" si="3"/>
        <v>0</v>
      </c>
      <c r="H39" s="4">
        <f t="shared" si="4"/>
        <v>0</v>
      </c>
      <c r="I39" s="4">
        <f t="shared" si="5"/>
        <v>0</v>
      </c>
      <c r="J39" s="4">
        <f t="shared" si="6"/>
        <v>0</v>
      </c>
      <c r="K39" s="4">
        <f t="shared" si="7"/>
        <v>1</v>
      </c>
      <c r="L39">
        <f>COUNTIF('Team List'!$D$4:$D$66, A39)</f>
        <v>1</v>
      </c>
    </row>
    <row r="40" spans="1:12">
      <c r="A40" s="4" t="s">
        <v>250</v>
      </c>
      <c r="B40" s="13">
        <v>21067</v>
      </c>
      <c r="C40" s="4" t="s">
        <v>124</v>
      </c>
      <c r="D40" s="4">
        <f t="shared" si="0"/>
        <v>64</v>
      </c>
      <c r="E40" s="4" t="str">
        <f t="shared" si="1"/>
        <v>C</v>
      </c>
      <c r="F40" s="4">
        <f t="shared" si="2"/>
        <v>0</v>
      </c>
      <c r="G40" s="4">
        <f t="shared" si="3"/>
        <v>0</v>
      </c>
      <c r="H40" s="4">
        <f t="shared" si="4"/>
        <v>1</v>
      </c>
      <c r="I40" s="4">
        <f t="shared" si="5"/>
        <v>0</v>
      </c>
      <c r="J40" s="4">
        <f t="shared" si="6"/>
        <v>0</v>
      </c>
      <c r="K40" s="4">
        <f t="shared" si="7"/>
        <v>0</v>
      </c>
      <c r="L40">
        <f>COUNTIF('Team List'!$D$4:$D$66, A40)</f>
        <v>1</v>
      </c>
    </row>
    <row r="41" spans="1:12">
      <c r="A41" s="4" t="s">
        <v>248</v>
      </c>
      <c r="B41" s="13">
        <v>21269</v>
      </c>
      <c r="C41" s="4" t="s">
        <v>124</v>
      </c>
      <c r="D41" s="4">
        <f t="shared" si="0"/>
        <v>64</v>
      </c>
      <c r="E41" s="4" t="str">
        <f t="shared" si="1"/>
        <v>C</v>
      </c>
      <c r="F41" s="4">
        <f t="shared" si="2"/>
        <v>0</v>
      </c>
      <c r="G41" s="4">
        <f t="shared" si="3"/>
        <v>0</v>
      </c>
      <c r="H41" s="4">
        <f t="shared" si="4"/>
        <v>1</v>
      </c>
      <c r="I41" s="4">
        <f t="shared" si="5"/>
        <v>0</v>
      </c>
      <c r="J41" s="4">
        <f t="shared" si="6"/>
        <v>0</v>
      </c>
      <c r="K41" s="4">
        <f t="shared" si="7"/>
        <v>0</v>
      </c>
      <c r="L41">
        <f>COUNTIF('Team List'!$D$4:$D$66, A41)</f>
        <v>1</v>
      </c>
    </row>
    <row r="42" spans="1:12">
      <c r="A42" s="4" t="s">
        <v>144</v>
      </c>
      <c r="B42" s="13">
        <v>18556</v>
      </c>
      <c r="C42" s="4" t="s">
        <v>123</v>
      </c>
      <c r="D42" s="4">
        <f t="shared" si="0"/>
        <v>71</v>
      </c>
      <c r="E42" s="4" t="str">
        <f t="shared" si="1"/>
        <v>C</v>
      </c>
      <c r="F42" s="4">
        <f t="shared" si="2"/>
        <v>0</v>
      </c>
      <c r="G42" s="4">
        <f t="shared" si="3"/>
        <v>0</v>
      </c>
      <c r="H42" s="4">
        <f t="shared" si="4"/>
        <v>0</v>
      </c>
      <c r="I42" s="4">
        <f t="shared" si="5"/>
        <v>0</v>
      </c>
      <c r="J42" s="4">
        <f t="shared" si="6"/>
        <v>0</v>
      </c>
      <c r="K42" s="4">
        <f t="shared" si="7"/>
        <v>1</v>
      </c>
      <c r="L42">
        <f>COUNTIF('Team List'!$D$4:$D$66, A42)</f>
        <v>1</v>
      </c>
    </row>
    <row r="43" spans="1:12">
      <c r="A43" s="4" t="s">
        <v>233</v>
      </c>
      <c r="B43" s="13">
        <v>23057</v>
      </c>
      <c r="C43" s="4" t="s">
        <v>123</v>
      </c>
      <c r="D43" s="4">
        <f t="shared" si="0"/>
        <v>59</v>
      </c>
      <c r="E43" s="4" t="str">
        <f t="shared" si="1"/>
        <v>B</v>
      </c>
      <c r="F43" s="4">
        <f t="shared" si="2"/>
        <v>0</v>
      </c>
      <c r="G43" s="4">
        <f t="shared" si="3"/>
        <v>0</v>
      </c>
      <c r="H43" s="4">
        <f t="shared" si="4"/>
        <v>0</v>
      </c>
      <c r="I43" s="4">
        <f t="shared" si="5"/>
        <v>0</v>
      </c>
      <c r="J43" s="4">
        <f t="shared" si="6"/>
        <v>1</v>
      </c>
      <c r="K43" s="4">
        <f t="shared" si="7"/>
        <v>0</v>
      </c>
      <c r="L43">
        <f>COUNTIF('Team List'!$D$4:$D$66, A43)</f>
        <v>1</v>
      </c>
    </row>
    <row r="44" spans="1:12">
      <c r="A44" s="4" t="s">
        <v>246</v>
      </c>
      <c r="B44" s="13">
        <v>20338</v>
      </c>
      <c r="C44" s="4" t="s">
        <v>123</v>
      </c>
      <c r="D44" s="4">
        <f t="shared" si="0"/>
        <v>66</v>
      </c>
      <c r="E44" s="4" t="str">
        <f t="shared" si="1"/>
        <v>C</v>
      </c>
      <c r="F44" s="4">
        <f t="shared" si="2"/>
        <v>0</v>
      </c>
      <c r="G44" s="4">
        <f t="shared" si="3"/>
        <v>0</v>
      </c>
      <c r="H44" s="4">
        <f t="shared" si="4"/>
        <v>0</v>
      </c>
      <c r="I44" s="4">
        <f t="shared" si="5"/>
        <v>0</v>
      </c>
      <c r="J44" s="4">
        <f t="shared" si="6"/>
        <v>0</v>
      </c>
      <c r="K44" s="4">
        <f t="shared" si="7"/>
        <v>1</v>
      </c>
      <c r="L44">
        <f>COUNTIF('Team List'!$D$4:$D$66, A44)</f>
        <v>1</v>
      </c>
    </row>
    <row r="45" spans="1:12">
      <c r="A45" s="4" t="s">
        <v>190</v>
      </c>
      <c r="B45" s="13">
        <v>20057</v>
      </c>
      <c r="C45" s="4" t="s">
        <v>124</v>
      </c>
      <c r="D45" s="4">
        <f t="shared" si="0"/>
        <v>67</v>
      </c>
      <c r="E45" s="4" t="str">
        <f t="shared" si="1"/>
        <v>C</v>
      </c>
      <c r="F45" s="4">
        <f t="shared" si="2"/>
        <v>0</v>
      </c>
      <c r="G45" s="4">
        <f t="shared" si="3"/>
        <v>0</v>
      </c>
      <c r="H45" s="4">
        <f t="shared" si="4"/>
        <v>1</v>
      </c>
      <c r="I45" s="4">
        <f t="shared" si="5"/>
        <v>0</v>
      </c>
      <c r="J45" s="4">
        <f t="shared" si="6"/>
        <v>0</v>
      </c>
      <c r="K45" s="4">
        <f t="shared" si="7"/>
        <v>0</v>
      </c>
      <c r="L45">
        <f>COUNTIF('Team List'!$D$4:$D$66, A45)</f>
        <v>1</v>
      </c>
    </row>
    <row r="46" spans="1:12">
      <c r="A46" s="4" t="s">
        <v>143</v>
      </c>
      <c r="B46" s="13">
        <v>18890</v>
      </c>
      <c r="C46" s="4" t="s">
        <v>123</v>
      </c>
      <c r="D46" s="4">
        <f t="shared" si="0"/>
        <v>70</v>
      </c>
      <c r="E46" s="4" t="str">
        <f t="shared" si="1"/>
        <v>C</v>
      </c>
      <c r="F46" s="4">
        <f t="shared" si="2"/>
        <v>0</v>
      </c>
      <c r="G46" s="4">
        <f t="shared" si="3"/>
        <v>0</v>
      </c>
      <c r="H46" s="4">
        <f t="shared" si="4"/>
        <v>0</v>
      </c>
      <c r="I46" s="4">
        <f t="shared" si="5"/>
        <v>0</v>
      </c>
      <c r="J46" s="4">
        <f t="shared" si="6"/>
        <v>0</v>
      </c>
      <c r="K46" s="4">
        <f t="shared" si="7"/>
        <v>1</v>
      </c>
      <c r="L46">
        <f>COUNTIF('Team List'!$D$4:$D$66, A46)</f>
        <v>1</v>
      </c>
    </row>
    <row r="47" spans="1:12">
      <c r="A47" s="4" t="s">
        <v>161</v>
      </c>
      <c r="B47" s="13">
        <v>19946</v>
      </c>
      <c r="C47" s="4" t="s">
        <v>124</v>
      </c>
      <c r="D47" s="4">
        <f t="shared" si="0"/>
        <v>68</v>
      </c>
      <c r="E47" s="4" t="str">
        <f t="shared" si="1"/>
        <v>C</v>
      </c>
      <c r="F47" s="4">
        <f t="shared" si="2"/>
        <v>0</v>
      </c>
      <c r="G47" s="4">
        <f t="shared" si="3"/>
        <v>0</v>
      </c>
      <c r="H47" s="4">
        <f t="shared" si="4"/>
        <v>1</v>
      </c>
      <c r="I47" s="4">
        <f t="shared" si="5"/>
        <v>0</v>
      </c>
      <c r="J47" s="4">
        <f t="shared" si="6"/>
        <v>0</v>
      </c>
      <c r="K47" s="4">
        <f t="shared" si="7"/>
        <v>0</v>
      </c>
      <c r="L47">
        <f>COUNTIF('Team List'!$D$4:$D$66, A47)</f>
        <v>1</v>
      </c>
    </row>
    <row r="48" spans="1:12">
      <c r="A48" s="4" t="s">
        <v>139</v>
      </c>
      <c r="B48" s="13">
        <v>18473</v>
      </c>
      <c r="C48" s="4" t="s">
        <v>124</v>
      </c>
      <c r="D48" s="4">
        <f t="shared" si="0"/>
        <v>72</v>
      </c>
      <c r="E48" s="4" t="str">
        <f t="shared" si="1"/>
        <v>C</v>
      </c>
      <c r="F48" s="4">
        <f t="shared" si="2"/>
        <v>0</v>
      </c>
      <c r="G48" s="4">
        <f t="shared" si="3"/>
        <v>0</v>
      </c>
      <c r="H48" s="4">
        <f t="shared" si="4"/>
        <v>1</v>
      </c>
      <c r="I48" s="4">
        <f t="shared" si="5"/>
        <v>0</v>
      </c>
      <c r="J48" s="4">
        <f t="shared" si="6"/>
        <v>0</v>
      </c>
      <c r="K48" s="4">
        <f t="shared" si="7"/>
        <v>0</v>
      </c>
      <c r="L48">
        <f>COUNTIF('Team List'!$D$4:$D$66, A48)</f>
        <v>1</v>
      </c>
    </row>
    <row r="49" spans="1:12">
      <c r="A49" s="4" t="s">
        <v>93</v>
      </c>
      <c r="B49" s="13">
        <v>21864</v>
      </c>
      <c r="C49" s="4" t="s">
        <v>123</v>
      </c>
      <c r="D49" s="4">
        <f t="shared" si="0"/>
        <v>62</v>
      </c>
      <c r="E49" s="4" t="str">
        <f t="shared" si="1"/>
        <v>C</v>
      </c>
      <c r="F49" s="4">
        <f t="shared" si="2"/>
        <v>0</v>
      </c>
      <c r="G49" s="4">
        <f t="shared" si="3"/>
        <v>0</v>
      </c>
      <c r="H49" s="4">
        <f t="shared" si="4"/>
        <v>0</v>
      </c>
      <c r="I49" s="4">
        <f t="shared" si="5"/>
        <v>0</v>
      </c>
      <c r="J49" s="4">
        <f t="shared" si="6"/>
        <v>0</v>
      </c>
      <c r="K49" s="4">
        <f t="shared" si="7"/>
        <v>1</v>
      </c>
      <c r="L49">
        <f>COUNTIF('Team List'!$D$4:$D$66, A49)</f>
        <v>1</v>
      </c>
    </row>
    <row r="50" spans="1:12">
      <c r="A50" s="4" t="s">
        <v>159</v>
      </c>
      <c r="B50" s="13">
        <v>20654</v>
      </c>
      <c r="C50" s="4" t="s">
        <v>124</v>
      </c>
      <c r="D50" s="4">
        <f t="shared" si="0"/>
        <v>66</v>
      </c>
      <c r="E50" s="4" t="str">
        <f t="shared" si="1"/>
        <v>C</v>
      </c>
      <c r="F50" s="4">
        <f t="shared" si="2"/>
        <v>0</v>
      </c>
      <c r="G50" s="4">
        <f t="shared" si="3"/>
        <v>0</v>
      </c>
      <c r="H50" s="4">
        <f t="shared" si="4"/>
        <v>1</v>
      </c>
      <c r="I50" s="4">
        <f t="shared" si="5"/>
        <v>0</v>
      </c>
      <c r="J50" s="4">
        <f t="shared" si="6"/>
        <v>0</v>
      </c>
      <c r="K50" s="4">
        <f t="shared" si="7"/>
        <v>0</v>
      </c>
      <c r="L50">
        <f>COUNTIF('Team List'!$D$4:$D$66, A50)</f>
        <v>1</v>
      </c>
    </row>
    <row r="51" spans="1:12">
      <c r="A51" s="4" t="s">
        <v>141</v>
      </c>
      <c r="B51" s="13">
        <v>20785</v>
      </c>
      <c r="C51" s="4" t="s">
        <v>124</v>
      </c>
      <c r="D51" s="4">
        <f t="shared" si="0"/>
        <v>65</v>
      </c>
      <c r="E51" s="4" t="str">
        <f t="shared" si="1"/>
        <v>C</v>
      </c>
      <c r="F51" s="4">
        <f t="shared" si="2"/>
        <v>0</v>
      </c>
      <c r="G51" s="4">
        <f t="shared" si="3"/>
        <v>0</v>
      </c>
      <c r="H51" s="4">
        <f t="shared" si="4"/>
        <v>1</v>
      </c>
      <c r="I51" s="4">
        <f t="shared" si="5"/>
        <v>0</v>
      </c>
      <c r="J51" s="4">
        <f t="shared" si="6"/>
        <v>0</v>
      </c>
      <c r="K51" s="4">
        <f t="shared" si="7"/>
        <v>0</v>
      </c>
      <c r="L51">
        <f>COUNTIF('Team List'!$D$4:$D$66, A51)</f>
        <v>1</v>
      </c>
    </row>
    <row r="52" spans="1:12">
      <c r="A52" s="4" t="s">
        <v>140</v>
      </c>
      <c r="B52" s="13">
        <v>19773</v>
      </c>
      <c r="C52" s="4" t="s">
        <v>123</v>
      </c>
      <c r="D52" s="4">
        <f t="shared" si="0"/>
        <v>68</v>
      </c>
      <c r="E52" s="4" t="str">
        <f t="shared" si="1"/>
        <v>C</v>
      </c>
      <c r="F52" s="4">
        <f t="shared" si="2"/>
        <v>0</v>
      </c>
      <c r="G52" s="4">
        <f t="shared" si="3"/>
        <v>0</v>
      </c>
      <c r="H52" s="4">
        <f t="shared" si="4"/>
        <v>0</v>
      </c>
      <c r="I52" s="4">
        <f t="shared" si="5"/>
        <v>0</v>
      </c>
      <c r="J52" s="4">
        <f t="shared" si="6"/>
        <v>0</v>
      </c>
      <c r="K52" s="4">
        <f t="shared" si="7"/>
        <v>1</v>
      </c>
      <c r="L52">
        <f>COUNTIF('Team List'!$D$4:$D$66, A52)</f>
        <v>1</v>
      </c>
    </row>
    <row r="53" spans="1:12">
      <c r="A53" s="4" t="s">
        <v>229</v>
      </c>
      <c r="B53" s="13">
        <v>20958</v>
      </c>
      <c r="C53" s="4" t="s">
        <v>124</v>
      </c>
      <c r="D53" s="4">
        <f t="shared" si="0"/>
        <v>65</v>
      </c>
      <c r="E53" s="4" t="str">
        <f t="shared" si="1"/>
        <v>C</v>
      </c>
      <c r="F53" s="4">
        <f t="shared" si="2"/>
        <v>0</v>
      </c>
      <c r="G53" s="4">
        <f t="shared" si="3"/>
        <v>0</v>
      </c>
      <c r="H53" s="4">
        <f t="shared" si="4"/>
        <v>1</v>
      </c>
      <c r="I53" s="4">
        <f t="shared" si="5"/>
        <v>0</v>
      </c>
      <c r="J53" s="4">
        <f t="shared" si="6"/>
        <v>0</v>
      </c>
      <c r="K53" s="4">
        <f t="shared" si="7"/>
        <v>0</v>
      </c>
      <c r="L53">
        <f>COUNTIF('Team List'!$D$4:$D$66, A53)</f>
        <v>1</v>
      </c>
    </row>
    <row r="54" spans="1:12">
      <c r="A54" s="4" t="s">
        <v>142</v>
      </c>
      <c r="B54" s="13">
        <v>17827</v>
      </c>
      <c r="C54" s="4" t="s">
        <v>123</v>
      </c>
      <c r="D54" s="4">
        <f t="shared" si="0"/>
        <v>73</v>
      </c>
      <c r="E54" s="4" t="str">
        <f t="shared" si="1"/>
        <v>C</v>
      </c>
      <c r="F54" s="4">
        <f t="shared" si="2"/>
        <v>0</v>
      </c>
      <c r="G54" s="4">
        <f t="shared" si="3"/>
        <v>0</v>
      </c>
      <c r="H54" s="4">
        <f t="shared" si="4"/>
        <v>0</v>
      </c>
      <c r="I54" s="4">
        <f t="shared" si="5"/>
        <v>0</v>
      </c>
      <c r="J54" s="4">
        <f t="shared" si="6"/>
        <v>0</v>
      </c>
      <c r="K54" s="4">
        <f t="shared" si="7"/>
        <v>1</v>
      </c>
      <c r="L54">
        <f>COUNTIF('Team List'!$D$4:$D$66, A54)</f>
        <v>1</v>
      </c>
    </row>
    <row r="55" spans="1:12">
      <c r="A55" s="4" t="s">
        <v>155</v>
      </c>
      <c r="B55" s="13">
        <v>21340</v>
      </c>
      <c r="C55" s="4" t="s">
        <v>123</v>
      </c>
      <c r="D55" s="4">
        <f t="shared" si="0"/>
        <v>64</v>
      </c>
      <c r="E55" s="4" t="str">
        <f t="shared" si="1"/>
        <v>C</v>
      </c>
      <c r="F55" s="4">
        <f t="shared" si="2"/>
        <v>0</v>
      </c>
      <c r="G55" s="4">
        <f t="shared" si="3"/>
        <v>0</v>
      </c>
      <c r="H55" s="4">
        <f t="shared" si="4"/>
        <v>0</v>
      </c>
      <c r="I55" s="4">
        <f t="shared" si="5"/>
        <v>0</v>
      </c>
      <c r="J55" s="4">
        <f t="shared" si="6"/>
        <v>0</v>
      </c>
      <c r="K55" s="4">
        <f t="shared" si="7"/>
        <v>1</v>
      </c>
      <c r="L55">
        <f>COUNTIF('Team List'!$D$4:$D$66, A55)</f>
        <v>1</v>
      </c>
    </row>
    <row r="56" spans="1:12">
      <c r="A56" s="4" t="s">
        <v>135</v>
      </c>
      <c r="B56" s="13">
        <v>16908</v>
      </c>
      <c r="C56" s="4" t="s">
        <v>123</v>
      </c>
      <c r="D56" s="4">
        <f t="shared" si="0"/>
        <v>76</v>
      </c>
      <c r="E56" s="4" t="str">
        <f t="shared" si="1"/>
        <v>C</v>
      </c>
      <c r="F56" s="4">
        <f t="shared" si="2"/>
        <v>0</v>
      </c>
      <c r="G56" s="4">
        <f t="shared" si="3"/>
        <v>0</v>
      </c>
      <c r="H56" s="4">
        <f t="shared" si="4"/>
        <v>0</v>
      </c>
      <c r="I56" s="4">
        <f t="shared" si="5"/>
        <v>0</v>
      </c>
      <c r="J56" s="4">
        <f t="shared" si="6"/>
        <v>0</v>
      </c>
      <c r="K56" s="4">
        <f t="shared" si="7"/>
        <v>1</v>
      </c>
      <c r="L56">
        <f>COUNTIF('Team List'!$D$4:$D$66, A56)</f>
        <v>1</v>
      </c>
    </row>
    <row r="57" spans="1:12">
      <c r="A57" s="4" t="s">
        <v>138</v>
      </c>
      <c r="B57" s="13">
        <v>18586</v>
      </c>
      <c r="C57" s="4" t="s">
        <v>124</v>
      </c>
      <c r="D57" s="4">
        <f t="shared" si="0"/>
        <v>71</v>
      </c>
      <c r="E57" s="4" t="str">
        <f t="shared" si="1"/>
        <v>C</v>
      </c>
      <c r="F57" s="4">
        <f t="shared" si="2"/>
        <v>0</v>
      </c>
      <c r="G57" s="4">
        <f t="shared" si="3"/>
        <v>0</v>
      </c>
      <c r="H57" s="4">
        <f t="shared" si="4"/>
        <v>1</v>
      </c>
      <c r="I57" s="4">
        <f t="shared" si="5"/>
        <v>0</v>
      </c>
      <c r="J57" s="4">
        <f t="shared" si="6"/>
        <v>0</v>
      </c>
      <c r="K57" s="4">
        <f t="shared" si="7"/>
        <v>0</v>
      </c>
      <c r="L57">
        <f>COUNTIF('Team List'!$D$4:$D$66, A57)</f>
        <v>1</v>
      </c>
    </row>
    <row r="58" spans="1:12">
      <c r="A58" s="4" t="s">
        <v>137</v>
      </c>
      <c r="B58" s="13">
        <v>22021</v>
      </c>
      <c r="C58" s="4" t="s">
        <v>124</v>
      </c>
      <c r="D58" s="4">
        <f t="shared" si="0"/>
        <v>62</v>
      </c>
      <c r="E58" s="4" t="str">
        <f t="shared" si="1"/>
        <v>C</v>
      </c>
      <c r="F58" s="4">
        <f t="shared" si="2"/>
        <v>0</v>
      </c>
      <c r="G58" s="4">
        <f t="shared" si="3"/>
        <v>0</v>
      </c>
      <c r="H58" s="4">
        <f t="shared" si="4"/>
        <v>1</v>
      </c>
      <c r="I58" s="4">
        <f t="shared" si="5"/>
        <v>0</v>
      </c>
      <c r="J58" s="4">
        <f t="shared" si="6"/>
        <v>0</v>
      </c>
      <c r="K58" s="4">
        <f t="shared" si="7"/>
        <v>0</v>
      </c>
      <c r="L58">
        <f>COUNTIF('Team List'!$D$4:$D$66, A58)</f>
        <v>1</v>
      </c>
    </row>
    <row r="59" spans="1:12">
      <c r="A59" s="4" t="s">
        <v>134</v>
      </c>
      <c r="B59" s="13">
        <v>19943</v>
      </c>
      <c r="C59" s="4" t="s">
        <v>124</v>
      </c>
      <c r="D59" s="4">
        <f t="shared" si="0"/>
        <v>68</v>
      </c>
      <c r="E59" s="4" t="str">
        <f t="shared" si="1"/>
        <v>C</v>
      </c>
      <c r="F59" s="4">
        <f t="shared" si="2"/>
        <v>0</v>
      </c>
      <c r="G59" s="4">
        <f t="shared" si="3"/>
        <v>0</v>
      </c>
      <c r="H59" s="4">
        <f t="shared" si="4"/>
        <v>1</v>
      </c>
      <c r="I59" s="4">
        <f t="shared" si="5"/>
        <v>0</v>
      </c>
      <c r="J59" s="4">
        <f t="shared" si="6"/>
        <v>0</v>
      </c>
      <c r="K59" s="4">
        <f t="shared" si="7"/>
        <v>0</v>
      </c>
      <c r="L59">
        <f>COUNTIF('Team List'!$D$4:$D$66, A59)</f>
        <v>1</v>
      </c>
    </row>
    <row r="60" spans="1:12">
      <c r="A60" s="4" t="s">
        <v>136</v>
      </c>
      <c r="B60" s="13">
        <v>19947</v>
      </c>
      <c r="C60" s="4" t="s">
        <v>124</v>
      </c>
      <c r="D60" s="4">
        <f t="shared" si="0"/>
        <v>68</v>
      </c>
      <c r="E60" s="4" t="str">
        <f t="shared" si="1"/>
        <v>C</v>
      </c>
      <c r="F60" s="4">
        <f t="shared" si="2"/>
        <v>0</v>
      </c>
      <c r="G60" s="4">
        <f t="shared" si="3"/>
        <v>0</v>
      </c>
      <c r="H60" s="4">
        <f t="shared" si="4"/>
        <v>1</v>
      </c>
      <c r="I60" s="4">
        <f t="shared" si="5"/>
        <v>0</v>
      </c>
      <c r="J60" s="4">
        <f t="shared" si="6"/>
        <v>0</v>
      </c>
      <c r="K60" s="4">
        <f t="shared" si="7"/>
        <v>0</v>
      </c>
      <c r="L60">
        <f>COUNTIF('Team List'!$D$4:$D$66, A60)</f>
        <v>1</v>
      </c>
    </row>
    <row r="61" spans="1:12">
      <c r="A61" s="67" t="s">
        <v>255</v>
      </c>
      <c r="B61" s="68">
        <v>18738</v>
      </c>
      <c r="C61" s="67" t="s">
        <v>123</v>
      </c>
      <c r="D61" s="67">
        <f t="shared" si="0"/>
        <v>71</v>
      </c>
      <c r="E61" s="67" t="str">
        <f t="shared" si="1"/>
        <v>C</v>
      </c>
      <c r="F61" s="4">
        <f t="shared" si="2"/>
        <v>0</v>
      </c>
      <c r="G61" s="4">
        <f t="shared" si="3"/>
        <v>0</v>
      </c>
      <c r="H61" s="4">
        <f t="shared" si="4"/>
        <v>0</v>
      </c>
      <c r="I61" s="4">
        <f t="shared" si="5"/>
        <v>0</v>
      </c>
      <c r="J61" s="4">
        <f t="shared" si="6"/>
        <v>0</v>
      </c>
      <c r="K61" s="4">
        <f t="shared" si="7"/>
        <v>1</v>
      </c>
      <c r="L61">
        <f>COUNTIF('Team List'!$D$4:$D$66, A61)</f>
        <v>1</v>
      </c>
    </row>
    <row r="62" spans="1:12">
      <c r="A62" s="67" t="s">
        <v>257</v>
      </c>
      <c r="B62" s="68">
        <v>23385</v>
      </c>
      <c r="C62" s="67" t="s">
        <v>123</v>
      </c>
      <c r="D62" s="67">
        <f t="shared" si="0"/>
        <v>58</v>
      </c>
      <c r="E62" s="67" t="str">
        <f t="shared" si="1"/>
        <v>B</v>
      </c>
      <c r="F62" s="4">
        <f t="shared" si="2"/>
        <v>0</v>
      </c>
      <c r="G62" s="4">
        <f t="shared" si="3"/>
        <v>0</v>
      </c>
      <c r="H62" s="4">
        <f t="shared" si="4"/>
        <v>0</v>
      </c>
      <c r="I62" s="4">
        <f t="shared" si="5"/>
        <v>0</v>
      </c>
      <c r="J62" s="4">
        <f t="shared" si="6"/>
        <v>1</v>
      </c>
      <c r="K62" s="4">
        <f t="shared" si="7"/>
        <v>0</v>
      </c>
      <c r="L62">
        <f>COUNTIF('Team List'!$D$4:$D$66, A62)</f>
        <v>1</v>
      </c>
    </row>
    <row r="63" spans="1:12">
      <c r="A63" s="67" t="s">
        <v>262</v>
      </c>
      <c r="B63" s="68">
        <v>19631</v>
      </c>
      <c r="C63" s="67" t="s">
        <v>123</v>
      </c>
      <c r="D63" s="67">
        <f t="shared" ref="D63:D64" si="8">DATEDIF(B63,$B$1,"y")</f>
        <v>68</v>
      </c>
      <c r="E63" s="67" t="str">
        <f t="shared" ref="E63:E64" si="9">IF(D63&gt;59,"C", IF(D63&gt;49,"B", IF(D63&gt;39,"A","Jun or Prem")))</f>
        <v>C</v>
      </c>
      <c r="F63" s="4">
        <f t="shared" si="2"/>
        <v>0</v>
      </c>
      <c r="G63" s="4">
        <f t="shared" si="3"/>
        <v>0</v>
      </c>
      <c r="H63" s="4">
        <f t="shared" si="4"/>
        <v>0</v>
      </c>
      <c r="I63" s="4">
        <f t="shared" si="5"/>
        <v>0</v>
      </c>
      <c r="J63" s="4">
        <f t="shared" si="6"/>
        <v>0</v>
      </c>
      <c r="K63" s="4">
        <f t="shared" si="7"/>
        <v>1</v>
      </c>
      <c r="L63">
        <f>COUNTIF('Team List'!$D$4:$D$66, A63)</f>
        <v>1</v>
      </c>
    </row>
    <row r="64" spans="1:12">
      <c r="A64" s="67" t="s">
        <v>265</v>
      </c>
      <c r="B64" s="68">
        <v>21390</v>
      </c>
      <c r="C64" s="67" t="s">
        <v>124</v>
      </c>
      <c r="D64" s="67">
        <f t="shared" si="8"/>
        <v>64</v>
      </c>
      <c r="E64" s="67" t="str">
        <f t="shared" si="9"/>
        <v>C</v>
      </c>
      <c r="F64" s="4">
        <f t="shared" si="2"/>
        <v>0</v>
      </c>
      <c r="G64" s="4">
        <f t="shared" si="3"/>
        <v>0</v>
      </c>
      <c r="H64" s="4">
        <f t="shared" si="4"/>
        <v>1</v>
      </c>
      <c r="I64" s="4">
        <f t="shared" si="5"/>
        <v>0</v>
      </c>
      <c r="J64" s="4">
        <f t="shared" si="6"/>
        <v>0</v>
      </c>
      <c r="K64" s="4">
        <f t="shared" si="7"/>
        <v>0</v>
      </c>
      <c r="L64">
        <f>COUNTIF('Team List'!$D$4:$D$66, A64)</f>
        <v>1</v>
      </c>
    </row>
    <row r="65" spans="1:12">
      <c r="A65" s="67" t="s">
        <v>260</v>
      </c>
      <c r="B65" s="68">
        <v>20476</v>
      </c>
      <c r="C65" s="67" t="s">
        <v>123</v>
      </c>
      <c r="D65" s="67">
        <f t="shared" ref="D65" si="10">DATEDIF(B65,$B$1,"y")</f>
        <v>66</v>
      </c>
      <c r="E65" s="67" t="str">
        <f t="shared" ref="E65" si="11">IF(D65&gt;59,"C", IF(D65&gt;49,"B", IF(D65&gt;39,"A","Jun or Prem")))</f>
        <v>C</v>
      </c>
      <c r="F65" s="4">
        <f t="shared" si="2"/>
        <v>0</v>
      </c>
      <c r="G65" s="4">
        <f t="shared" si="3"/>
        <v>0</v>
      </c>
      <c r="H65" s="4">
        <f t="shared" si="4"/>
        <v>0</v>
      </c>
      <c r="I65" s="4">
        <f t="shared" si="5"/>
        <v>0</v>
      </c>
      <c r="J65" s="4">
        <f t="shared" si="6"/>
        <v>0</v>
      </c>
      <c r="K65" s="4">
        <f t="shared" si="7"/>
        <v>1</v>
      </c>
      <c r="L65">
        <f>COUNTIF('Team List'!$D$4:$D$66, A65)</f>
        <v>1</v>
      </c>
    </row>
    <row r="66" spans="1:12" ht="15.75" thickBot="1">
      <c r="A66" s="26" t="s">
        <v>133</v>
      </c>
      <c r="B66" s="27">
        <v>22709</v>
      </c>
      <c r="C66" s="26" t="s">
        <v>123</v>
      </c>
      <c r="D66" s="26">
        <f t="shared" si="0"/>
        <v>60</v>
      </c>
      <c r="E66" s="26" t="str">
        <f t="shared" si="1"/>
        <v>C</v>
      </c>
      <c r="F66" s="4">
        <f t="shared" si="2"/>
        <v>0</v>
      </c>
      <c r="G66" s="4">
        <f t="shared" si="3"/>
        <v>0</v>
      </c>
      <c r="H66" s="4">
        <f t="shared" si="4"/>
        <v>0</v>
      </c>
      <c r="I66" s="4">
        <f t="shared" si="5"/>
        <v>0</v>
      </c>
      <c r="J66" s="4">
        <f t="shared" si="6"/>
        <v>0</v>
      </c>
      <c r="K66" s="4">
        <f t="shared" si="7"/>
        <v>1</v>
      </c>
      <c r="L66">
        <f>COUNTIF('Team List'!$D$4:$D$66, A66)</f>
        <v>1</v>
      </c>
    </row>
    <row r="67" spans="1:12" ht="15.75" thickTop="1">
      <c r="A67" s="25"/>
      <c r="B67" s="25"/>
      <c r="C67" s="25"/>
      <c r="D67" s="25"/>
      <c r="E67" s="25"/>
      <c r="F67" s="25">
        <f>SUM(F4:F66)</f>
        <v>2</v>
      </c>
      <c r="G67" s="25">
        <f t="shared" ref="G67:K67" si="12">SUM(G4:G66)</f>
        <v>2</v>
      </c>
      <c r="H67" s="25">
        <f t="shared" si="12"/>
        <v>31</v>
      </c>
      <c r="I67" s="25">
        <f t="shared" si="12"/>
        <v>0</v>
      </c>
      <c r="J67" s="25">
        <f t="shared" si="12"/>
        <v>5</v>
      </c>
      <c r="K67" s="25">
        <f t="shared" si="12"/>
        <v>23</v>
      </c>
      <c r="L67">
        <f>COUNTIF('Team List'!$D$4:$D$66, A67)</f>
        <v>0</v>
      </c>
    </row>
    <row r="68" spans="1:12">
      <c r="L68">
        <f>COUNTIF('Team List'!$D$4:$D$66, A68)</f>
        <v>0</v>
      </c>
    </row>
    <row r="69" spans="1:12">
      <c r="L69">
        <f>COUNTIF('Team List'!$D$4:$D$66, A69)</f>
        <v>0</v>
      </c>
    </row>
    <row r="70" spans="1:12">
      <c r="L70">
        <f>COUNTIF('Team List'!$D$4:$D$66, A70)</f>
        <v>0</v>
      </c>
    </row>
    <row r="71" spans="1:12">
      <c r="L71">
        <f>COUNTIF('Team List'!$D$4:$D$66, A71)</f>
        <v>0</v>
      </c>
    </row>
  </sheetData>
  <conditionalFormatting sqref="F4:K66">
    <cfRule type="cellIs" dxfId="52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R7"/>
  <sheetViews>
    <sheetView workbookViewId="0"/>
  </sheetViews>
  <sheetFormatPr defaultRowHeight="15"/>
  <cols>
    <col min="2" max="2" width="13.28515625" bestFit="1" customWidth="1"/>
    <col min="3" max="3" width="37.7109375" bestFit="1" customWidth="1"/>
    <col min="4" max="4" width="14" bestFit="1" customWidth="1"/>
    <col min="5" max="5" width="11" bestFit="1" customWidth="1"/>
    <col min="6" max="6" width="12" bestFit="1" customWidth="1"/>
    <col min="7" max="8" width="16.140625" bestFit="1" customWidth="1"/>
  </cols>
  <sheetData>
    <row r="1" spans="1:18">
      <c r="I1" s="73" t="s">
        <v>168</v>
      </c>
      <c r="J1" s="73"/>
      <c r="K1" s="73"/>
      <c r="L1" s="73"/>
      <c r="M1" s="73"/>
      <c r="N1" s="73"/>
      <c r="O1" s="73"/>
      <c r="P1" s="73"/>
      <c r="Q1" s="73"/>
      <c r="R1" s="73"/>
    </row>
    <row r="2" spans="1:18" s="2" customFormat="1">
      <c r="A2" s="2" t="s">
        <v>107</v>
      </c>
      <c r="B2" s="2" t="s">
        <v>106</v>
      </c>
      <c r="C2" s="2" t="s">
        <v>105</v>
      </c>
      <c r="D2" s="2" t="s">
        <v>104</v>
      </c>
      <c r="E2" s="2" t="s">
        <v>103</v>
      </c>
      <c r="F2" s="2" t="s">
        <v>102</v>
      </c>
      <c r="G2" s="2" t="s">
        <v>101</v>
      </c>
      <c r="H2" s="2" t="s">
        <v>100</v>
      </c>
      <c r="I2" s="2">
        <v>1</v>
      </c>
      <c r="J2" s="2">
        <v>2</v>
      </c>
      <c r="K2" s="2">
        <v>3</v>
      </c>
      <c r="L2" s="2">
        <v>4</v>
      </c>
      <c r="M2" s="2">
        <v>5</v>
      </c>
      <c r="N2" s="2">
        <v>6</v>
      </c>
      <c r="O2" s="2">
        <v>7</v>
      </c>
      <c r="P2" s="2">
        <v>8</v>
      </c>
      <c r="Q2" s="2">
        <v>9</v>
      </c>
      <c r="R2" s="2">
        <v>10</v>
      </c>
    </row>
    <row r="3" spans="1:18">
      <c r="A3" t="s">
        <v>99</v>
      </c>
      <c r="B3" t="s">
        <v>98</v>
      </c>
      <c r="C3" t="s">
        <v>97</v>
      </c>
      <c r="D3" s="14">
        <v>12.4</v>
      </c>
      <c r="E3" s="14">
        <f>D3/2</f>
        <v>6.2</v>
      </c>
      <c r="F3" s="14">
        <v>0.78</v>
      </c>
      <c r="G3" s="14">
        <f>E3-2</f>
        <v>4.2</v>
      </c>
      <c r="H3" s="14">
        <f>E3-1.17</f>
        <v>5.03</v>
      </c>
      <c r="I3" s="14">
        <v>0.78500000000000003</v>
      </c>
      <c r="J3" s="14">
        <v>0.9</v>
      </c>
      <c r="K3" s="14">
        <v>0.98</v>
      </c>
      <c r="L3" s="14">
        <v>1.0249999999999999</v>
      </c>
      <c r="M3" s="14">
        <v>1.05</v>
      </c>
      <c r="N3" s="14">
        <v>1.04</v>
      </c>
      <c r="O3" s="14">
        <v>1.0049999999999999</v>
      </c>
      <c r="P3" s="14">
        <v>0.94</v>
      </c>
      <c r="Q3" s="14">
        <v>0.84499999999999997</v>
      </c>
      <c r="R3" s="14">
        <v>0.71</v>
      </c>
    </row>
    <row r="4" spans="1:18">
      <c r="A4" t="s">
        <v>96</v>
      </c>
      <c r="B4" t="s">
        <v>95</v>
      </c>
      <c r="C4" t="s">
        <v>94</v>
      </c>
      <c r="D4" s="14">
        <v>9.56</v>
      </c>
      <c r="E4" s="14">
        <f>D4/2</f>
        <v>4.78</v>
      </c>
      <c r="F4" s="14">
        <v>0.9</v>
      </c>
      <c r="G4" s="14">
        <f>E4-1.9</f>
        <v>2.8800000000000003</v>
      </c>
      <c r="H4" s="14">
        <f>E4-1.31</f>
        <v>3.47</v>
      </c>
      <c r="I4" s="14">
        <v>0.85499999999999998</v>
      </c>
      <c r="J4" s="14">
        <v>0.92</v>
      </c>
      <c r="K4" s="14">
        <v>0.93500000000000005</v>
      </c>
      <c r="L4" s="14">
        <v>0.89700000000000002</v>
      </c>
      <c r="M4" s="14">
        <v>0.78700000000000003</v>
      </c>
      <c r="N4" s="39"/>
      <c r="O4" s="39"/>
      <c r="P4" s="39"/>
      <c r="Q4" s="39"/>
      <c r="R4" s="39"/>
    </row>
    <row r="5" spans="1:18">
      <c r="A5" t="s">
        <v>96</v>
      </c>
      <c r="B5" t="s">
        <v>98</v>
      </c>
      <c r="C5" t="s">
        <v>108</v>
      </c>
      <c r="D5" s="14">
        <v>9.6</v>
      </c>
      <c r="E5" s="14">
        <f>D5/2</f>
        <v>4.8</v>
      </c>
      <c r="F5" s="14">
        <v>0.9</v>
      </c>
      <c r="G5" s="14">
        <v>2.95</v>
      </c>
      <c r="H5" s="14">
        <v>3.4</v>
      </c>
      <c r="I5" s="40">
        <v>0.85499999999999998</v>
      </c>
      <c r="J5" s="40">
        <v>0.92</v>
      </c>
      <c r="K5" s="40">
        <v>0.93500000000000005</v>
      </c>
      <c r="L5" s="40">
        <v>0.89700000000000002</v>
      </c>
      <c r="M5" s="40">
        <v>0.78700000000000003</v>
      </c>
      <c r="N5" s="39"/>
      <c r="O5" s="39"/>
      <c r="P5" s="39"/>
      <c r="Q5" s="39"/>
      <c r="R5" s="39"/>
    </row>
    <row r="7" spans="1:18">
      <c r="A7" s="41"/>
      <c r="B7" t="s">
        <v>178</v>
      </c>
    </row>
  </sheetData>
  <mergeCells count="1">
    <mergeCell ref="I1:R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autoPageBreaks="0"/>
  </sheetPr>
  <dimension ref="A1:S58"/>
  <sheetViews>
    <sheetView workbookViewId="0">
      <selection activeCell="F9" sqref="F9"/>
    </sheetView>
  </sheetViews>
  <sheetFormatPr defaultColWidth="8.85546875" defaultRowHeight="15"/>
  <cols>
    <col min="1" max="1" width="6.7109375" customWidth="1"/>
    <col min="2" max="2" width="10" bestFit="1" customWidth="1"/>
    <col min="3" max="3" width="9.7109375" bestFit="1" customWidth="1"/>
    <col min="4" max="4" width="13.85546875" bestFit="1" customWidth="1"/>
    <col min="5" max="5" width="4.28515625" customWidth="1"/>
    <col min="6" max="6" width="19.140625" customWidth="1"/>
    <col min="7" max="7" width="16.85546875" customWidth="1"/>
    <col min="8" max="8" width="19.140625" customWidth="1"/>
    <col min="9" max="9" width="4.140625" customWidth="1"/>
    <col min="10" max="10" width="13.85546875" bestFit="1" customWidth="1"/>
    <col min="11" max="11" width="10.85546875" bestFit="1" customWidth="1"/>
    <col min="12" max="12" width="10" bestFit="1" customWidth="1"/>
    <col min="13" max="13" width="7.85546875" customWidth="1"/>
    <col min="14" max="14" width="2.42578125" customWidth="1"/>
    <col min="15" max="15" width="11.42578125" bestFit="1" customWidth="1"/>
    <col min="16" max="16" width="8.42578125" bestFit="1" customWidth="1"/>
    <col min="17" max="17" width="9.140625" customWidth="1"/>
    <col min="19" max="19" width="8.85546875" style="5"/>
    <col min="24" max="24" width="9.140625" customWidth="1"/>
    <col min="29" max="29" width="9.140625" customWidth="1"/>
  </cols>
  <sheetData>
    <row r="1" spans="1:19">
      <c r="O1" s="3"/>
      <c r="P1" s="3"/>
    </row>
    <row r="2" spans="1:19">
      <c r="F2" s="3" t="s">
        <v>176</v>
      </c>
      <c r="G2" s="3"/>
      <c r="H2" s="3"/>
      <c r="I2" s="3"/>
    </row>
    <row r="3" spans="1:19" ht="15.75" thickBot="1">
      <c r="F3" s="9"/>
      <c r="G3" s="10"/>
      <c r="H3" s="9"/>
      <c r="I3" s="3"/>
    </row>
    <row r="4" spans="1:19" s="2" customFormat="1">
      <c r="A4" s="2" t="s">
        <v>174</v>
      </c>
      <c r="B4" s="2" t="s">
        <v>173</v>
      </c>
      <c r="C4" s="2" t="s">
        <v>171</v>
      </c>
      <c r="D4" s="2" t="s">
        <v>169</v>
      </c>
      <c r="F4" s="6" t="s">
        <v>2</v>
      </c>
      <c r="G4" s="9"/>
      <c r="H4" s="6" t="s">
        <v>3</v>
      </c>
      <c r="J4" s="2" t="s">
        <v>169</v>
      </c>
      <c r="K4" s="2" t="s">
        <v>172</v>
      </c>
      <c r="L4" s="2" t="s">
        <v>173</v>
      </c>
      <c r="M4" s="2" t="s">
        <v>174</v>
      </c>
      <c r="O4" s="29" t="s">
        <v>5</v>
      </c>
      <c r="P4" s="30"/>
      <c r="Q4"/>
      <c r="S4" s="5"/>
    </row>
    <row r="5" spans="1:19">
      <c r="B5">
        <f>VLOOKUP(G5,'Team List'!D:I,6,FALSE)</f>
        <v>0</v>
      </c>
      <c r="D5">
        <f>'Boat Details'!$H$3*B5</f>
        <v>0</v>
      </c>
      <c r="F5" s="4"/>
      <c r="G5" s="12" t="s">
        <v>10</v>
      </c>
      <c r="H5" s="4"/>
      <c r="O5" s="31" t="s">
        <v>11</v>
      </c>
      <c r="P5" s="32">
        <f>SUM(B6:B15)</f>
        <v>0</v>
      </c>
    </row>
    <row r="6" spans="1:19" ht="15.75" thickBot="1">
      <c r="A6" t="str">
        <f>VLOOKUP(F6,'Team List'!$D:$J,7,FALSE)</f>
        <v>None</v>
      </c>
      <c r="B6">
        <f>VLOOKUP(F6,'Team List'!D:I,6,FALSE)</f>
        <v>0</v>
      </c>
      <c r="C6">
        <f>'Boat Details'!$I$3/2*B6</f>
        <v>0</v>
      </c>
      <c r="D6">
        <f>(4*'Boat Details'!$F$3+0.3)*B6</f>
        <v>0</v>
      </c>
      <c r="F6" s="12" t="s">
        <v>10</v>
      </c>
      <c r="G6" s="11">
        <v>1</v>
      </c>
      <c r="H6" s="12" t="s">
        <v>10</v>
      </c>
      <c r="I6" s="5"/>
      <c r="J6">
        <f>(4*'Boat Details'!$F$3+0.3)*L6</f>
        <v>0</v>
      </c>
      <c r="K6">
        <f>'Boat Details'!$I$3/2*L6</f>
        <v>0</v>
      </c>
      <c r="L6">
        <f>VLOOKUP(H6,'Team List'!D:I,6,FALSE)</f>
        <v>0</v>
      </c>
      <c r="M6" t="str">
        <f>VLOOKUP(H6,'Team List'!$D:$J,7,FALSE)</f>
        <v>None</v>
      </c>
      <c r="O6" s="33" t="s">
        <v>12</v>
      </c>
      <c r="P6" s="34">
        <f>SUM(L6:L15)</f>
        <v>0</v>
      </c>
      <c r="Q6">
        <f>SUM(P5:P6)</f>
        <v>0</v>
      </c>
    </row>
    <row r="7" spans="1:19" ht="16.5" thickTop="1" thickBot="1">
      <c r="A7" t="str">
        <f>VLOOKUP(F7,'Team List'!$D:$J,7,FALSE)</f>
        <v>None</v>
      </c>
      <c r="B7">
        <f>VLOOKUP(F7,'Team List'!D:I,6,FALSE)</f>
        <v>0</v>
      </c>
      <c r="C7">
        <f>'Boat Details'!$J$3/2*B7</f>
        <v>0</v>
      </c>
      <c r="D7">
        <f>(3*'Boat Details'!$F$3+0.3)*B7</f>
        <v>0</v>
      </c>
      <c r="F7" s="12" t="s">
        <v>10</v>
      </c>
      <c r="G7" s="11">
        <v>2</v>
      </c>
      <c r="H7" s="12" t="s">
        <v>10</v>
      </c>
      <c r="I7" s="5"/>
      <c r="J7">
        <f>(3*'Boat Details'!$F$3+0.3)*L7</f>
        <v>0</v>
      </c>
      <c r="K7">
        <f>'Boat Details'!$J$3/2*L7</f>
        <v>0</v>
      </c>
      <c r="L7">
        <f>VLOOKUP(H7,'Team List'!D:I,6,FALSE)</f>
        <v>0</v>
      </c>
      <c r="M7" t="str">
        <f>VLOOKUP(H7,'Team List'!$D:$J,7,FALSE)</f>
        <v>None</v>
      </c>
      <c r="O7" s="35" t="s">
        <v>4</v>
      </c>
      <c r="P7" s="36">
        <f>P5-P6</f>
        <v>0</v>
      </c>
    </row>
    <row r="8" spans="1:19">
      <c r="A8" t="str">
        <f>VLOOKUP(F8,'Team List'!$D:$J,7,FALSE)</f>
        <v>None</v>
      </c>
      <c r="B8">
        <f>VLOOKUP(F8,'Team List'!D:I,6,FALSE)</f>
        <v>0</v>
      </c>
      <c r="C8">
        <f>'Boat Details'!$K$3/2*B8</f>
        <v>0</v>
      </c>
      <c r="D8">
        <f>(2*'Boat Details'!$F$3+0.3)*B8</f>
        <v>0</v>
      </c>
      <c r="F8" s="12" t="s">
        <v>10</v>
      </c>
      <c r="G8" s="11">
        <v>3</v>
      </c>
      <c r="H8" s="12" t="s">
        <v>10</v>
      </c>
      <c r="I8" s="5"/>
      <c r="J8">
        <f>(2*'Boat Details'!$F$3+0.3)*L8</f>
        <v>0</v>
      </c>
      <c r="K8">
        <f>'Boat Details'!$K$3/2*L8</f>
        <v>0</v>
      </c>
      <c r="L8">
        <f>VLOOKUP(H8,'Team List'!D:I,6,FALSE)</f>
        <v>0</v>
      </c>
      <c r="M8" t="str">
        <f>VLOOKUP(H8,'Team List'!$D:$J,7,FALSE)</f>
        <v>None</v>
      </c>
      <c r="O8" s="29" t="s">
        <v>170</v>
      </c>
      <c r="P8" s="30"/>
    </row>
    <row r="9" spans="1:19">
      <c r="A9" t="str">
        <f>VLOOKUP(F9,'Team List'!$D:$J,7,FALSE)</f>
        <v>None</v>
      </c>
      <c r="B9">
        <f>VLOOKUP(F9,'Team List'!D:I,6,FALSE)</f>
        <v>0</v>
      </c>
      <c r="C9">
        <f>'Boat Details'!$L$3/2*B9</f>
        <v>0</v>
      </c>
      <c r="D9">
        <f>(1*'Boat Details'!$F$3+0.3)*B9</f>
        <v>0</v>
      </c>
      <c r="F9" s="12" t="s">
        <v>10</v>
      </c>
      <c r="G9" s="11">
        <v>4</v>
      </c>
      <c r="H9" s="12" t="s">
        <v>10</v>
      </c>
      <c r="I9" s="5"/>
      <c r="J9">
        <f>(1*'Boat Details'!$F$3+0.3)*L9</f>
        <v>0</v>
      </c>
      <c r="K9">
        <f>'Boat Details'!$L$3/2*L9</f>
        <v>0</v>
      </c>
      <c r="L9">
        <f>VLOOKUP(H9,'Team List'!D:I,6,FALSE)</f>
        <v>0</v>
      </c>
      <c r="M9" t="str">
        <f>VLOOKUP(H9,'Team List'!$D:$J,7,FALSE)</f>
        <v>None</v>
      </c>
      <c r="O9" s="31" t="s">
        <v>171</v>
      </c>
      <c r="P9" s="32">
        <f>SUM(C6:C15)</f>
        <v>0</v>
      </c>
    </row>
    <row r="10" spans="1:19" ht="15.75" thickBot="1">
      <c r="A10" t="str">
        <f>VLOOKUP(F10,'Team List'!$D:$J,7,FALSE)</f>
        <v>None</v>
      </c>
      <c r="B10">
        <f>VLOOKUP(F10,'Team List'!D:I,6,FALSE)</f>
        <v>0</v>
      </c>
      <c r="C10">
        <f>'Boat Details'!$M$3/2*B10</f>
        <v>0</v>
      </c>
      <c r="D10">
        <f>(0*'Boat Details'!$F$3+0.3)*B10</f>
        <v>0</v>
      </c>
      <c r="F10" s="12" t="s">
        <v>10</v>
      </c>
      <c r="G10" s="11">
        <v>5</v>
      </c>
      <c r="H10" s="12" t="s">
        <v>10</v>
      </c>
      <c r="I10" s="5"/>
      <c r="J10">
        <f>(0*'Boat Details'!$F$3+0.3)*L10</f>
        <v>0</v>
      </c>
      <c r="K10">
        <f>'Boat Details'!$M$3/2*L10</f>
        <v>0</v>
      </c>
      <c r="L10">
        <f>VLOOKUP(H10,'Team List'!D:I,6,FALSE)</f>
        <v>0</v>
      </c>
      <c r="M10" t="str">
        <f>VLOOKUP(H10,'Team List'!$D:$J,7,FALSE)</f>
        <v>None</v>
      </c>
      <c r="O10" s="33" t="s">
        <v>172</v>
      </c>
      <c r="P10" s="34">
        <f>SUM(K6:K15)</f>
        <v>0</v>
      </c>
    </row>
    <row r="11" spans="1:19" ht="16.5" thickTop="1" thickBot="1">
      <c r="A11" t="str">
        <f>VLOOKUP(F11,'Team List'!$D:$J,7,FALSE)</f>
        <v>None</v>
      </c>
      <c r="B11">
        <f>VLOOKUP(F11,'Team List'!D:I,6,FALSE)</f>
        <v>0</v>
      </c>
      <c r="C11">
        <f>'Boat Details'!$N$3/2*B11</f>
        <v>0</v>
      </c>
      <c r="D11">
        <f>(0*'Boat Details'!$F$3+0.5)*B11</f>
        <v>0</v>
      </c>
      <c r="F11" s="12" t="s">
        <v>10</v>
      </c>
      <c r="G11" s="11">
        <v>6</v>
      </c>
      <c r="H11" s="12" t="s">
        <v>10</v>
      </c>
      <c r="I11" s="5"/>
      <c r="J11">
        <f>(0*'Boat Details'!$F$3+0.5)*L11</f>
        <v>0</v>
      </c>
      <c r="K11">
        <f>'Boat Details'!$N$3/2*L11</f>
        <v>0</v>
      </c>
      <c r="L11">
        <f>VLOOKUP(H11,'Team List'!D:I,6,FALSE)</f>
        <v>0</v>
      </c>
      <c r="M11" t="str">
        <f>VLOOKUP(H11,'Team List'!$D:$J,7,FALSE)</f>
        <v>None</v>
      </c>
      <c r="O11" s="35" t="s">
        <v>4</v>
      </c>
      <c r="P11" s="37">
        <f>P9-P10</f>
        <v>0</v>
      </c>
      <c r="Q11" t="s">
        <v>179</v>
      </c>
    </row>
    <row r="12" spans="1:19">
      <c r="A12" t="str">
        <f>VLOOKUP(F12,'Team List'!$D:$J,7,FALSE)</f>
        <v>None</v>
      </c>
      <c r="B12">
        <f>VLOOKUP(F12,'Team List'!D:I,6,FALSE)</f>
        <v>0</v>
      </c>
      <c r="C12">
        <f>'Boat Details'!$O$3/2*B12</f>
        <v>0</v>
      </c>
      <c r="D12">
        <f>(1*'Boat Details'!$F$3+0.5)*B12</f>
        <v>0</v>
      </c>
      <c r="F12" s="12" t="s">
        <v>10</v>
      </c>
      <c r="G12" s="11">
        <v>7</v>
      </c>
      <c r="H12" s="12" t="s">
        <v>10</v>
      </c>
      <c r="I12" s="5"/>
      <c r="J12">
        <f>(1*'Boat Details'!$F$3+0.5)*L12</f>
        <v>0</v>
      </c>
      <c r="K12">
        <f>'Boat Details'!$O$3/2*L12</f>
        <v>0</v>
      </c>
      <c r="L12">
        <f>VLOOKUP(H12,'Team List'!D:I,6,FALSE)</f>
        <v>0</v>
      </c>
      <c r="M12" t="str">
        <f>VLOOKUP(H12,'Team List'!$D:$J,7,FALSE)</f>
        <v>None</v>
      </c>
      <c r="O12" s="29" t="s">
        <v>6</v>
      </c>
      <c r="P12" s="30"/>
    </row>
    <row r="13" spans="1:19">
      <c r="A13" t="str">
        <f>VLOOKUP(F13,'Team List'!$D:$J,7,FALSE)</f>
        <v>None</v>
      </c>
      <c r="B13">
        <f>VLOOKUP(F13,'Team List'!D:I,6,FALSE)</f>
        <v>0</v>
      </c>
      <c r="C13">
        <f>'Boat Details'!$P$3/2*B13</f>
        <v>0</v>
      </c>
      <c r="D13">
        <f>(2*'Boat Details'!$F$3+0.5)*B13</f>
        <v>0</v>
      </c>
      <c r="F13" s="12" t="s">
        <v>10</v>
      </c>
      <c r="G13" s="11">
        <v>8</v>
      </c>
      <c r="H13" s="12" t="s">
        <v>10</v>
      </c>
      <c r="I13" s="5"/>
      <c r="J13">
        <f>(2*'Boat Details'!$F$3+0.5)*L13</f>
        <v>0</v>
      </c>
      <c r="K13">
        <f>'Boat Details'!$P$3/2*L13</f>
        <v>0</v>
      </c>
      <c r="L13">
        <f>VLOOKUP(H13,'Team List'!D:I,6,FALSE)</f>
        <v>0</v>
      </c>
      <c r="M13" t="str">
        <f>VLOOKUP(H13,'Team List'!$D:$J,7,FALSE)</f>
        <v>None</v>
      </c>
      <c r="O13" s="31" t="s">
        <v>7</v>
      </c>
      <c r="P13" s="32">
        <f>SUM(D5:D10)+SUM(J6:J10)</f>
        <v>0</v>
      </c>
    </row>
    <row r="14" spans="1:19" ht="15.75" thickBot="1">
      <c r="A14" t="str">
        <f>VLOOKUP(F14,'Team List'!$D:$J,7,FALSE)</f>
        <v>None</v>
      </c>
      <c r="B14">
        <f>VLOOKUP(F14,'Team List'!D:I,6,FALSE)</f>
        <v>0</v>
      </c>
      <c r="C14">
        <f>'Boat Details'!$Q$3/2*B14</f>
        <v>0</v>
      </c>
      <c r="D14">
        <f>(3*'Boat Details'!$F$3+0.5)*B14</f>
        <v>0</v>
      </c>
      <c r="F14" s="12" t="s">
        <v>10</v>
      </c>
      <c r="G14" s="11">
        <v>9</v>
      </c>
      <c r="H14" s="12" t="s">
        <v>10</v>
      </c>
      <c r="I14" s="5"/>
      <c r="J14">
        <f>(3*'Boat Details'!$F$3+0.5)*L14</f>
        <v>0</v>
      </c>
      <c r="K14">
        <f>'Boat Details'!$Q$3/2*L14</f>
        <v>0</v>
      </c>
      <c r="L14">
        <f>VLOOKUP(H14,'Team List'!D:I,6,FALSE)</f>
        <v>0</v>
      </c>
      <c r="M14" t="str">
        <f>VLOOKUP(H14,'Team List'!$D:$J,7,FALSE)</f>
        <v>None</v>
      </c>
      <c r="O14" s="33" t="s">
        <v>8</v>
      </c>
      <c r="P14" s="34">
        <f>SUM(D11:D16)+SUM(J11:J15)</f>
        <v>0</v>
      </c>
    </row>
    <row r="15" spans="1:19" ht="16.5" thickTop="1" thickBot="1">
      <c r="A15" t="str">
        <f>VLOOKUP(F15,'Team List'!$D:$J,7,FALSE)</f>
        <v>None</v>
      </c>
      <c r="B15">
        <f>VLOOKUP(F15,'Team List'!D:I,6,FALSE)</f>
        <v>0</v>
      </c>
      <c r="C15">
        <f>'Boat Details'!$R$3/2*B15</f>
        <v>0</v>
      </c>
      <c r="D15">
        <f>(4*'Boat Details'!$F$3+0.5)*B15</f>
        <v>0</v>
      </c>
      <c r="F15" s="12" t="s">
        <v>10</v>
      </c>
      <c r="G15" s="11">
        <v>10</v>
      </c>
      <c r="H15" s="12" t="s">
        <v>10</v>
      </c>
      <c r="I15" s="5"/>
      <c r="J15">
        <f>(4*'Boat Details'!$F$3+0.5)*L15</f>
        <v>0</v>
      </c>
      <c r="K15">
        <f>'Boat Details'!$R$3/2*L15</f>
        <v>0</v>
      </c>
      <c r="L15">
        <f>VLOOKUP(H15,'Team List'!D:I,6,FALSE)</f>
        <v>0</v>
      </c>
      <c r="M15" t="str">
        <f>VLOOKUP(H15,'Team List'!$D:$J,7,FALSE)</f>
        <v>None</v>
      </c>
      <c r="O15" s="35" t="s">
        <v>4</v>
      </c>
      <c r="P15" s="37">
        <f>P13-P14</f>
        <v>0</v>
      </c>
      <c r="Q15" t="s">
        <v>180</v>
      </c>
    </row>
    <row r="16" spans="1:19">
      <c r="B16">
        <f>VLOOKUP(G16,'Team List'!D:I,6,FALSE)</f>
        <v>0</v>
      </c>
      <c r="D16">
        <f>'Boat Details'!$G$3*B16</f>
        <v>0</v>
      </c>
      <c r="F16" s="4"/>
      <c r="G16" s="12" t="s">
        <v>10</v>
      </c>
      <c r="H16" s="4"/>
    </row>
    <row r="17" spans="1:19">
      <c r="F17" t="s">
        <v>21</v>
      </c>
      <c r="O17" s="3"/>
    </row>
    <row r="18" spans="1:19" ht="16.5" customHeight="1"/>
    <row r="19" spans="1:19">
      <c r="F19" s="3" t="s">
        <v>109</v>
      </c>
      <c r="G19" s="3"/>
      <c r="H19" s="3"/>
      <c r="I19" s="3"/>
    </row>
    <row r="20" spans="1:19" ht="15.75" thickBot="1">
      <c r="F20" s="9"/>
      <c r="G20" s="10"/>
      <c r="H20" s="9"/>
      <c r="I20" s="3"/>
      <c r="O20" s="3"/>
    </row>
    <row r="21" spans="1:19" s="2" customFormat="1">
      <c r="A21" s="2" t="s">
        <v>174</v>
      </c>
      <c r="B21" s="2" t="s">
        <v>173</v>
      </c>
      <c r="C21" s="2" t="s">
        <v>171</v>
      </c>
      <c r="D21" s="2" t="s">
        <v>169</v>
      </c>
      <c r="F21" s="6" t="s">
        <v>2</v>
      </c>
      <c r="G21" s="9"/>
      <c r="H21" s="6" t="s">
        <v>3</v>
      </c>
      <c r="J21" s="2" t="s">
        <v>169</v>
      </c>
      <c r="K21" s="2" t="s">
        <v>172</v>
      </c>
      <c r="L21" s="2" t="s">
        <v>173</v>
      </c>
      <c r="M21" s="2" t="s">
        <v>174</v>
      </c>
      <c r="O21" s="38" t="s">
        <v>11</v>
      </c>
      <c r="P21" s="30">
        <f>SUM(B23:B27)</f>
        <v>0</v>
      </c>
      <c r="Q21"/>
      <c r="S21" s="5"/>
    </row>
    <row r="22" spans="1:19" ht="15.75" thickBot="1">
      <c r="B22">
        <f>VLOOKUP(G22,'Team List'!D:I,6,FALSE)</f>
        <v>0</v>
      </c>
      <c r="D22">
        <f>'Boat Details'!$H$4*B22</f>
        <v>0</v>
      </c>
      <c r="F22" s="4"/>
      <c r="G22" s="12" t="s">
        <v>10</v>
      </c>
      <c r="H22" s="4"/>
      <c r="O22" s="33" t="s">
        <v>12</v>
      </c>
      <c r="P22" s="34">
        <f>SUM(L23:L27)</f>
        <v>0</v>
      </c>
      <c r="Q22">
        <f>SUM(P21:P22)</f>
        <v>0</v>
      </c>
    </row>
    <row r="23" spans="1:19" ht="16.5" thickTop="1" thickBot="1">
      <c r="A23" t="str">
        <f>VLOOKUP(F23,'Team List'!$D:$J,7,FALSE)</f>
        <v>None</v>
      </c>
      <c r="B23">
        <f>VLOOKUP(F23,'Team List'!D:I,6,FALSE)</f>
        <v>0</v>
      </c>
      <c r="C23">
        <f>'Boat Details'!$I$4/2*B23</f>
        <v>0</v>
      </c>
      <c r="D23">
        <f>(1*'Boat Details'!$F$4+0.68)*B23</f>
        <v>0</v>
      </c>
      <c r="F23" s="12" t="s">
        <v>10</v>
      </c>
      <c r="G23" s="11">
        <v>1</v>
      </c>
      <c r="H23" s="12" t="s">
        <v>10</v>
      </c>
      <c r="I23" s="5"/>
      <c r="J23">
        <f>(1*'Boat Details'!$F$4+0.68)*L23</f>
        <v>0</v>
      </c>
      <c r="K23">
        <f>'Boat Details'!$I$4/2*L23</f>
        <v>0</v>
      </c>
      <c r="L23">
        <f>VLOOKUP(H23,'Team List'!D:I,6,FALSE)</f>
        <v>0</v>
      </c>
      <c r="M23" t="str">
        <f>VLOOKUP(H23,'Team List'!$D:$J,7,FALSE)</f>
        <v>None</v>
      </c>
      <c r="O23" s="35" t="s">
        <v>4</v>
      </c>
      <c r="P23" s="36">
        <f>P21-P22</f>
        <v>0</v>
      </c>
    </row>
    <row r="24" spans="1:19">
      <c r="A24" t="str">
        <f>VLOOKUP(F24,'Team List'!$D:$J,7,FALSE)</f>
        <v>None</v>
      </c>
      <c r="B24">
        <f>VLOOKUP(F24,'Team List'!D:I,6,FALSE)</f>
        <v>0</v>
      </c>
      <c r="C24">
        <f>'Boat Details'!$J$4/2*B24</f>
        <v>0</v>
      </c>
      <c r="D24">
        <f>(0*'Boat Details'!$F$4+0.68)*B24</f>
        <v>0</v>
      </c>
      <c r="F24" s="12" t="s">
        <v>10</v>
      </c>
      <c r="G24" s="11">
        <v>2</v>
      </c>
      <c r="H24" s="12" t="s">
        <v>10</v>
      </c>
      <c r="I24" s="5"/>
      <c r="J24">
        <f>(0*'Boat Details'!$F$4+0.68)*L24</f>
        <v>0</v>
      </c>
      <c r="K24">
        <f>'Boat Details'!$J$4/2*L24</f>
        <v>0</v>
      </c>
      <c r="L24">
        <f>VLOOKUP(H24,'Team List'!D:I,6,FALSE)</f>
        <v>0</v>
      </c>
      <c r="M24" t="str">
        <f>VLOOKUP(H24,'Team List'!$D:$J,7,FALSE)</f>
        <v>None</v>
      </c>
      <c r="O24" s="38" t="s">
        <v>171</v>
      </c>
      <c r="P24" s="30">
        <f>SUM(C23:C27)</f>
        <v>0</v>
      </c>
    </row>
    <row r="25" spans="1:19" ht="15.75" thickBot="1">
      <c r="A25" t="str">
        <f>VLOOKUP(F25,'Team List'!$D:$J,7,FALSE)</f>
        <v>None</v>
      </c>
      <c r="B25">
        <f>VLOOKUP(F25,'Team List'!D:I,6,FALSE)</f>
        <v>0</v>
      </c>
      <c r="C25">
        <f>'Boat Details'!$K$4/2*B25</f>
        <v>0</v>
      </c>
      <c r="D25">
        <f>(0*'Boat Details'!$F$4+0.22)*B25</f>
        <v>0</v>
      </c>
      <c r="F25" s="12" t="s">
        <v>10</v>
      </c>
      <c r="G25" s="11">
        <v>3</v>
      </c>
      <c r="H25" s="12" t="s">
        <v>10</v>
      </c>
      <c r="I25" s="5"/>
      <c r="J25">
        <f>(0*'Boat Details'!$F$4+0.22)*L25</f>
        <v>0</v>
      </c>
      <c r="K25">
        <f>'Boat Details'!$K$4/2*L25</f>
        <v>0</v>
      </c>
      <c r="L25">
        <f>VLOOKUP(H25,'Team List'!D:I,6,FALSE)</f>
        <v>0</v>
      </c>
      <c r="M25" t="str">
        <f>VLOOKUP(H25,'Team List'!$D:$J,7,FALSE)</f>
        <v>None</v>
      </c>
      <c r="O25" s="33" t="s">
        <v>172</v>
      </c>
      <c r="P25" s="34">
        <f>SUM(K23:K27)</f>
        <v>0</v>
      </c>
    </row>
    <row r="26" spans="1:19" ht="16.5" thickTop="1" thickBot="1">
      <c r="A26" t="str">
        <f>VLOOKUP(F26,'Team List'!$D:$J,7,FALSE)</f>
        <v>None</v>
      </c>
      <c r="B26">
        <f>VLOOKUP(F26,'Team List'!D:I,6,FALSE)</f>
        <v>0</v>
      </c>
      <c r="C26">
        <f>'Boat Details'!$L$4/2*B26</f>
        <v>0</v>
      </c>
      <c r="D26">
        <f>(1*'Boat Details'!$F$4+0.22)*B26</f>
        <v>0</v>
      </c>
      <c r="F26" s="12" t="s">
        <v>10</v>
      </c>
      <c r="G26" s="11">
        <v>4</v>
      </c>
      <c r="H26" s="12" t="s">
        <v>10</v>
      </c>
      <c r="I26" s="5"/>
      <c r="J26">
        <f>(1*'Boat Details'!$F$4+0.22)*L26</f>
        <v>0</v>
      </c>
      <c r="K26">
        <f>'Boat Details'!$L$4/2*L26</f>
        <v>0</v>
      </c>
      <c r="L26">
        <f>VLOOKUP(H26,'Team List'!D:I,6,FALSE)</f>
        <v>0</v>
      </c>
      <c r="M26" t="str">
        <f>VLOOKUP(H26,'Team List'!$D:$J,7,FALSE)</f>
        <v>None</v>
      </c>
      <c r="O26" s="35" t="s">
        <v>4</v>
      </c>
      <c r="P26" s="37">
        <f>P24-P25</f>
        <v>0</v>
      </c>
      <c r="Q26" t="s">
        <v>182</v>
      </c>
    </row>
    <row r="27" spans="1:19">
      <c r="A27" t="str">
        <f>VLOOKUP(F27,'Team List'!$D:$J,7,FALSE)</f>
        <v>None</v>
      </c>
      <c r="B27">
        <f>VLOOKUP(F27,'Team List'!D:I,6,FALSE)</f>
        <v>0</v>
      </c>
      <c r="C27">
        <f>'Boat Details'!$M$4/2*B27</f>
        <v>0</v>
      </c>
      <c r="D27">
        <f>(2*'Boat Details'!$F$4+0.22)*B27</f>
        <v>0</v>
      </c>
      <c r="F27" s="12" t="s">
        <v>10</v>
      </c>
      <c r="G27" s="11">
        <v>5</v>
      </c>
      <c r="H27" s="12" t="s">
        <v>10</v>
      </c>
      <c r="I27" s="5"/>
      <c r="J27">
        <f>(2*'Boat Details'!$F$4+0.22)*L27</f>
        <v>0</v>
      </c>
      <c r="K27">
        <f>'Boat Details'!$M$4/2*L27</f>
        <v>0</v>
      </c>
      <c r="L27">
        <f>VLOOKUP(H27,'Team List'!D:I,6,FALSE)</f>
        <v>0</v>
      </c>
      <c r="M27" t="str">
        <f>VLOOKUP(H27,'Team List'!$D:$J,7,FALSE)</f>
        <v>None</v>
      </c>
      <c r="O27" s="38" t="s">
        <v>7</v>
      </c>
      <c r="P27" s="30">
        <f>SUM(D22:D24)+SUM(J23:J24)</f>
        <v>0</v>
      </c>
    </row>
    <row r="28" spans="1:19" ht="15.75" thickBot="1">
      <c r="B28">
        <f>VLOOKUP(G28,'Team List'!D:I,6,FALSE)</f>
        <v>0</v>
      </c>
      <c r="D28">
        <f>'Boat Details'!$G$4*B28</f>
        <v>0</v>
      </c>
      <c r="F28" s="4"/>
      <c r="G28" s="12" t="s">
        <v>10</v>
      </c>
      <c r="H28" s="4"/>
      <c r="O28" s="33" t="s">
        <v>8</v>
      </c>
      <c r="P28" s="34">
        <f>SUM(D25:D28)+SUM(J25:J27)</f>
        <v>0</v>
      </c>
    </row>
    <row r="29" spans="1:19" ht="16.5" thickTop="1" thickBot="1">
      <c r="F29" t="s">
        <v>21</v>
      </c>
      <c r="O29" s="35" t="s">
        <v>4</v>
      </c>
      <c r="P29" s="37">
        <f>P27-P28</f>
        <v>0</v>
      </c>
      <c r="Q29" t="s">
        <v>183</v>
      </c>
    </row>
    <row r="30" spans="1:19">
      <c r="F30" s="5"/>
      <c r="G30" s="1"/>
      <c r="H30" s="5"/>
      <c r="I30" s="5"/>
    </row>
    <row r="31" spans="1:19">
      <c r="A31">
        <v>3</v>
      </c>
      <c r="F31" s="3" t="s">
        <v>110</v>
      </c>
      <c r="G31" s="3"/>
      <c r="H31" s="3"/>
      <c r="I31" s="3"/>
    </row>
    <row r="32" spans="1:19" ht="15.75" thickBot="1">
      <c r="F32" s="9"/>
      <c r="G32" s="10"/>
      <c r="H32" s="9"/>
      <c r="I32" s="3"/>
    </row>
    <row r="33" spans="1:17">
      <c r="A33" s="2" t="s">
        <v>174</v>
      </c>
      <c r="B33" s="2" t="s">
        <v>173</v>
      </c>
      <c r="C33" s="2" t="s">
        <v>171</v>
      </c>
      <c r="D33" s="2" t="s">
        <v>169</v>
      </c>
      <c r="E33" s="2"/>
      <c r="F33" s="6" t="s">
        <v>2</v>
      </c>
      <c r="G33" s="9"/>
      <c r="H33" s="6" t="s">
        <v>3</v>
      </c>
      <c r="I33" s="2"/>
      <c r="J33" s="2" t="s">
        <v>169</v>
      </c>
      <c r="K33" s="2" t="s">
        <v>172</v>
      </c>
      <c r="L33" s="2" t="s">
        <v>173</v>
      </c>
      <c r="M33" s="2" t="s">
        <v>174</v>
      </c>
      <c r="N33" s="2"/>
      <c r="O33" s="38" t="s">
        <v>11</v>
      </c>
      <c r="P33" s="30">
        <f>SUM(B35:B39)</f>
        <v>0</v>
      </c>
    </row>
    <row r="34" spans="1:17" ht="16.5" customHeight="1" thickBot="1">
      <c r="B34">
        <f>VLOOKUP(G34,'Team List'!D:I,6,FALSE)</f>
        <v>0</v>
      </c>
      <c r="D34">
        <f>'Boat Details'!$H$5*B34</f>
        <v>0</v>
      </c>
      <c r="F34" s="4"/>
      <c r="G34" s="12" t="s">
        <v>10</v>
      </c>
      <c r="H34" s="4"/>
      <c r="O34" s="33" t="s">
        <v>12</v>
      </c>
      <c r="P34" s="34">
        <f>SUM(L35:L39)</f>
        <v>0</v>
      </c>
      <c r="Q34">
        <f>SUM(P33:P34)</f>
        <v>0</v>
      </c>
    </row>
    <row r="35" spans="1:17" ht="16.5" customHeight="1" thickTop="1" thickBot="1">
      <c r="A35" t="str">
        <f>VLOOKUP(F35,'Team List'!$D:$J,7,FALSE)</f>
        <v>None</v>
      </c>
      <c r="B35">
        <f>VLOOKUP(F35,'Team List'!D:I,6,FALSE)</f>
        <v>0</v>
      </c>
      <c r="C35">
        <f>'Boat Details'!$I$5/2*B35</f>
        <v>0</v>
      </c>
      <c r="D35">
        <f>(1*'Boat Details'!$F$5+0.71)*B35</f>
        <v>0</v>
      </c>
      <c r="F35" s="12" t="s">
        <v>10</v>
      </c>
      <c r="G35" s="11">
        <v>1</v>
      </c>
      <c r="H35" s="12" t="s">
        <v>10</v>
      </c>
      <c r="I35" s="5"/>
      <c r="J35">
        <f>(1*'Boat Details'!$F$5+0.71)*L35</f>
        <v>0</v>
      </c>
      <c r="K35">
        <f>'Boat Details'!$I$5/2*L35</f>
        <v>0</v>
      </c>
      <c r="L35">
        <f>VLOOKUP(H35,'Team List'!D:I,6,FALSE)</f>
        <v>0</v>
      </c>
      <c r="M35" t="str">
        <f>VLOOKUP(H35,'Team List'!$D:$J,7,FALSE)</f>
        <v>None</v>
      </c>
      <c r="O35" s="35" t="s">
        <v>4</v>
      </c>
      <c r="P35" s="36">
        <f>P33-P34</f>
        <v>0</v>
      </c>
    </row>
    <row r="36" spans="1:17">
      <c r="A36" t="str">
        <f>VLOOKUP(F36,'Team List'!$D:$J,7,FALSE)</f>
        <v>None</v>
      </c>
      <c r="B36">
        <f>VLOOKUP(F36,'Team List'!D:I,6,FALSE)</f>
        <v>0</v>
      </c>
      <c r="C36">
        <f>'Boat Details'!$J$5/2*B36</f>
        <v>0</v>
      </c>
      <c r="D36">
        <f>(0*'Boat Details'!$F$5+0.71)*B36</f>
        <v>0</v>
      </c>
      <c r="F36" s="12" t="s">
        <v>10</v>
      </c>
      <c r="G36" s="11">
        <v>2</v>
      </c>
      <c r="H36" s="12" t="s">
        <v>10</v>
      </c>
      <c r="I36" s="5"/>
      <c r="J36">
        <f>(0*'Boat Details'!$F$5+0.71)*L36</f>
        <v>0</v>
      </c>
      <c r="K36">
        <f>'Boat Details'!$J$5/2*L36</f>
        <v>0</v>
      </c>
      <c r="L36">
        <f>VLOOKUP(H36,'Team List'!D:I,6,FALSE)</f>
        <v>0</v>
      </c>
      <c r="M36" t="str">
        <f>VLOOKUP(H36,'Team List'!$D:$J,7,FALSE)</f>
        <v>None</v>
      </c>
      <c r="O36" s="38" t="s">
        <v>171</v>
      </c>
      <c r="P36" s="30">
        <f>SUM(C35:C39)</f>
        <v>0</v>
      </c>
    </row>
    <row r="37" spans="1:17" ht="15.75" thickBot="1">
      <c r="A37" t="str">
        <f>VLOOKUP(F37,'Team List'!$D:$J,7,FALSE)</f>
        <v>None</v>
      </c>
      <c r="B37">
        <f>VLOOKUP(F37,'Team List'!D:I,6,FALSE)</f>
        <v>0</v>
      </c>
      <c r="C37">
        <f>'Boat Details'!$K$5/2*B37</f>
        <v>0</v>
      </c>
      <c r="D37">
        <f>(0*'Boat Details'!$F$5+0.19)*B37</f>
        <v>0</v>
      </c>
      <c r="F37" s="12" t="s">
        <v>10</v>
      </c>
      <c r="G37" s="11">
        <v>3</v>
      </c>
      <c r="H37" s="12" t="s">
        <v>10</v>
      </c>
      <c r="I37" s="5"/>
      <c r="J37">
        <f>(0*'Boat Details'!$F$5+0.19)*L37</f>
        <v>0</v>
      </c>
      <c r="K37">
        <f>'Boat Details'!$K$5/2*L37</f>
        <v>0</v>
      </c>
      <c r="L37">
        <f>VLOOKUP(H37,'Team List'!D:I,6,FALSE)</f>
        <v>0</v>
      </c>
      <c r="M37" t="str">
        <f>VLOOKUP(H37,'Team List'!$D:$J,7,FALSE)</f>
        <v>None</v>
      </c>
      <c r="O37" s="33" t="s">
        <v>172</v>
      </c>
      <c r="P37" s="34">
        <f>SUM(K35:K39)</f>
        <v>0</v>
      </c>
    </row>
    <row r="38" spans="1:17" ht="16.5" thickTop="1" thickBot="1">
      <c r="A38" t="str">
        <f>VLOOKUP(F38,'Team List'!$D:$J,7,FALSE)</f>
        <v>None</v>
      </c>
      <c r="B38">
        <f>VLOOKUP(F38,'Team List'!D:I,6,FALSE)</f>
        <v>0</v>
      </c>
      <c r="C38">
        <f>'Boat Details'!$L$5/2*B38</f>
        <v>0</v>
      </c>
      <c r="D38">
        <f>(1*'Boat Details'!$F$5+0.19)*B38</f>
        <v>0</v>
      </c>
      <c r="F38" s="12" t="s">
        <v>10</v>
      </c>
      <c r="G38" s="11">
        <v>4</v>
      </c>
      <c r="H38" s="12" t="s">
        <v>10</v>
      </c>
      <c r="I38" s="5"/>
      <c r="J38">
        <f>(1*'Boat Details'!$F$5+0.19)*L38</f>
        <v>0</v>
      </c>
      <c r="K38">
        <f>'Boat Details'!$L$5/2*L38</f>
        <v>0</v>
      </c>
      <c r="L38">
        <f>VLOOKUP(H38,'Team List'!D:I,6,FALSE)</f>
        <v>0</v>
      </c>
      <c r="M38" t="str">
        <f>VLOOKUP(H38,'Team List'!$D:$J,7,FALSE)</f>
        <v>None</v>
      </c>
      <c r="O38" s="35" t="s">
        <v>4</v>
      </c>
      <c r="P38" s="37">
        <f>P36-P37</f>
        <v>0</v>
      </c>
      <c r="Q38" t="s">
        <v>182</v>
      </c>
    </row>
    <row r="39" spans="1:17">
      <c r="A39" t="str">
        <f>VLOOKUP(F39,'Team List'!$D:$J,7,FALSE)</f>
        <v>None</v>
      </c>
      <c r="B39">
        <f>VLOOKUP(F39,'Team List'!D:I,6,FALSE)</f>
        <v>0</v>
      </c>
      <c r="C39">
        <f>'Boat Details'!$M$5/2*B39</f>
        <v>0</v>
      </c>
      <c r="D39">
        <f>(2*'Boat Details'!$F$5+0.19)*B39</f>
        <v>0</v>
      </c>
      <c r="F39" s="12" t="s">
        <v>10</v>
      </c>
      <c r="G39" s="11">
        <v>5</v>
      </c>
      <c r="H39" s="12" t="s">
        <v>10</v>
      </c>
      <c r="I39" s="5"/>
      <c r="J39">
        <f>(2*'Boat Details'!$F$5+0.19)*L39</f>
        <v>0</v>
      </c>
      <c r="K39">
        <f>'Boat Details'!$M$5/2*L39</f>
        <v>0</v>
      </c>
      <c r="L39">
        <f>VLOOKUP(H39,'Team List'!D:I,6,FALSE)</f>
        <v>0</v>
      </c>
      <c r="M39" t="str">
        <f>VLOOKUP(H39,'Team List'!$D:$J,7,FALSE)</f>
        <v>None</v>
      </c>
      <c r="O39" s="38" t="s">
        <v>7</v>
      </c>
      <c r="P39" s="30">
        <f>SUM(D34:D36)+SUM(J35:J36)</f>
        <v>0</v>
      </c>
    </row>
    <row r="40" spans="1:17" ht="15.75" thickBot="1">
      <c r="B40">
        <f>VLOOKUP(G40,'Team List'!D:I,6,FALSE)</f>
        <v>0</v>
      </c>
      <c r="D40">
        <f>'Boat Details'!$G$5*B40</f>
        <v>0</v>
      </c>
      <c r="F40" s="4"/>
      <c r="G40" s="12" t="s">
        <v>10</v>
      </c>
      <c r="H40" s="4"/>
      <c r="O40" s="33" t="s">
        <v>8</v>
      </c>
      <c r="P40" s="34">
        <f>SUM(D37:D40)+SUM(J37:J39)</f>
        <v>0</v>
      </c>
    </row>
    <row r="41" spans="1:17" ht="16.5" thickTop="1" thickBot="1">
      <c r="F41" t="s">
        <v>21</v>
      </c>
      <c r="O41" s="35" t="s">
        <v>4</v>
      </c>
      <c r="P41" s="37">
        <f>P39-P40</f>
        <v>0</v>
      </c>
      <c r="Q41" t="s">
        <v>183</v>
      </c>
    </row>
    <row r="43" spans="1:17">
      <c r="A43" s="2"/>
      <c r="B43" s="16"/>
      <c r="C43" s="16"/>
      <c r="D43" s="16"/>
      <c r="E43" s="16"/>
      <c r="F43" s="15" t="s">
        <v>177</v>
      </c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B44" s="16"/>
      <c r="C44" s="16"/>
      <c r="D44" s="16"/>
      <c r="E44" s="16"/>
      <c r="F44" s="17"/>
      <c r="G44" s="18"/>
      <c r="H44" s="17"/>
      <c r="I44" s="15"/>
      <c r="J44" s="16"/>
      <c r="K44" s="16"/>
      <c r="L44" s="16"/>
      <c r="M44" s="16"/>
      <c r="N44" s="16"/>
      <c r="O44" s="16"/>
      <c r="P44" s="16"/>
      <c r="Q44" s="16"/>
    </row>
    <row r="45" spans="1:17">
      <c r="A45" s="2" t="s">
        <v>174</v>
      </c>
      <c r="B45" s="23" t="s">
        <v>0</v>
      </c>
      <c r="C45" s="23"/>
      <c r="D45" s="23" t="s">
        <v>9</v>
      </c>
      <c r="E45" s="23"/>
      <c r="F45" s="19" t="s">
        <v>2</v>
      </c>
      <c r="G45" s="17"/>
      <c r="H45" s="19" t="s">
        <v>3</v>
      </c>
      <c r="I45" s="23"/>
      <c r="J45" s="23" t="s">
        <v>9</v>
      </c>
      <c r="K45" s="23"/>
      <c r="L45" s="23" t="s">
        <v>0</v>
      </c>
      <c r="M45" s="23" t="s">
        <v>174</v>
      </c>
      <c r="N45" s="23"/>
      <c r="O45" s="15" t="s">
        <v>5</v>
      </c>
      <c r="P45" s="16"/>
      <c r="Q45" s="16"/>
    </row>
    <row r="46" spans="1:17">
      <c r="B46" s="16">
        <f>VLOOKUP(G46,'Team List'!D:I,6,FALSE)</f>
        <v>0</v>
      </c>
      <c r="C46" s="16"/>
      <c r="D46" s="16">
        <f>(6*0.78+0.4)*B46</f>
        <v>0</v>
      </c>
      <c r="E46" s="16"/>
      <c r="F46" s="20"/>
      <c r="G46" s="21" t="s">
        <v>10</v>
      </c>
      <c r="H46" s="20"/>
      <c r="I46" s="16"/>
      <c r="J46" s="16"/>
      <c r="K46" s="16"/>
      <c r="L46" s="16"/>
      <c r="M46" s="16"/>
      <c r="N46" s="16"/>
      <c r="O46" s="16" t="s">
        <v>11</v>
      </c>
      <c r="P46" s="16">
        <f>SUM(B47:B56)</f>
        <v>0</v>
      </c>
      <c r="Q46" s="16"/>
    </row>
    <row r="47" spans="1:17" ht="15.75" thickBot="1">
      <c r="A47" t="str">
        <f>VLOOKUP(F47,'Team List'!$D:$J,7,FALSE)</f>
        <v>None</v>
      </c>
      <c r="B47" s="16">
        <f>VLOOKUP(F47,'Team List'!D:I,6,FALSE)</f>
        <v>0</v>
      </c>
      <c r="C47" s="16"/>
      <c r="D47" s="16">
        <f>(4*0.78+0.4)*B47</f>
        <v>0</v>
      </c>
      <c r="E47" s="16"/>
      <c r="F47" s="21" t="s">
        <v>10</v>
      </c>
      <c r="G47" s="22">
        <v>1</v>
      </c>
      <c r="H47" s="21" t="s">
        <v>10</v>
      </c>
      <c r="I47" s="46"/>
      <c r="J47" s="16">
        <f>(4*0.78+0.4)*L47</f>
        <v>0</v>
      </c>
      <c r="K47" s="16"/>
      <c r="L47" s="16">
        <f>VLOOKUP(H47,'Team List'!D:I,6,FALSE)</f>
        <v>0</v>
      </c>
      <c r="M47" s="16" t="str">
        <f>VLOOKUP(H47,'Team List'!$D:$J,7,FALSE)</f>
        <v>None</v>
      </c>
      <c r="N47" s="16"/>
      <c r="O47" s="24" t="s">
        <v>12</v>
      </c>
      <c r="P47" s="24">
        <f>SUM(L47:L56)</f>
        <v>0</v>
      </c>
      <c r="Q47" s="16">
        <f>SUM(P46:P47)</f>
        <v>0</v>
      </c>
    </row>
    <row r="48" spans="1:17" ht="15.75" thickTop="1">
      <c r="A48" t="str">
        <f>VLOOKUP(F48,'Team List'!$D:$J,7,FALSE)</f>
        <v>None</v>
      </c>
      <c r="B48" s="16">
        <f>VLOOKUP(F48,'Team List'!D:I,6,FALSE)</f>
        <v>0</v>
      </c>
      <c r="C48" s="16"/>
      <c r="D48" s="16">
        <f>(3*0.78+0.4)*B48</f>
        <v>0</v>
      </c>
      <c r="E48" s="16"/>
      <c r="F48" s="21" t="s">
        <v>10</v>
      </c>
      <c r="G48" s="22">
        <v>2</v>
      </c>
      <c r="H48" s="21" t="s">
        <v>10</v>
      </c>
      <c r="I48" s="46"/>
      <c r="J48" s="16">
        <f>(3*0.78+0.4)*L48</f>
        <v>0</v>
      </c>
      <c r="K48" s="16"/>
      <c r="L48" s="16">
        <f>VLOOKUP(H48,'Team List'!D:I,6,FALSE)</f>
        <v>0</v>
      </c>
      <c r="M48" s="16" t="str">
        <f>VLOOKUP(H48,'Team List'!$D:$J,7,FALSE)</f>
        <v>None</v>
      </c>
      <c r="N48" s="16"/>
      <c r="O48" s="15" t="s">
        <v>4</v>
      </c>
      <c r="P48" s="15">
        <f>P46-P47</f>
        <v>0</v>
      </c>
      <c r="Q48" s="16"/>
    </row>
    <row r="49" spans="1:17">
      <c r="A49" t="str">
        <f>VLOOKUP(F49,'Team List'!$D:$J,7,FALSE)</f>
        <v>None</v>
      </c>
      <c r="B49" s="16">
        <f>VLOOKUP(F49,'Team List'!D:I,6,FALSE)</f>
        <v>0</v>
      </c>
      <c r="C49" s="16"/>
      <c r="D49" s="16">
        <f>(2*0.78+0.4)*B49</f>
        <v>0</v>
      </c>
      <c r="E49" s="16"/>
      <c r="F49" s="21" t="s">
        <v>10</v>
      </c>
      <c r="G49" s="22">
        <v>3</v>
      </c>
      <c r="H49" s="21" t="s">
        <v>10</v>
      </c>
      <c r="I49" s="46"/>
      <c r="J49" s="16">
        <f>(2*0.78+0.4)*L49</f>
        <v>0</v>
      </c>
      <c r="K49" s="16"/>
      <c r="L49" s="16">
        <f>VLOOKUP(H49,'Team List'!D:I,6,FALSE)</f>
        <v>0</v>
      </c>
      <c r="M49" s="16" t="str">
        <f>VLOOKUP(H49,'Team List'!$D:$J,7,FALSE)</f>
        <v>None</v>
      </c>
      <c r="N49" s="16"/>
      <c r="O49" s="16"/>
      <c r="P49" s="16"/>
      <c r="Q49" s="16"/>
    </row>
    <row r="50" spans="1:17">
      <c r="A50" t="str">
        <f>VLOOKUP(F50,'Team List'!$D:$J,7,FALSE)</f>
        <v>None</v>
      </c>
      <c r="B50" s="16">
        <f>VLOOKUP(F50,'Team List'!D:I,6,FALSE)</f>
        <v>0</v>
      </c>
      <c r="C50" s="16"/>
      <c r="D50" s="16">
        <f>(1*0.78+0.4)*B50</f>
        <v>0</v>
      </c>
      <c r="E50" s="16"/>
      <c r="F50" s="21" t="s">
        <v>10</v>
      </c>
      <c r="G50" s="22">
        <v>4</v>
      </c>
      <c r="H50" s="21" t="s">
        <v>10</v>
      </c>
      <c r="I50" s="46"/>
      <c r="J50" s="16">
        <f>(1*0.78+0.4)*L50</f>
        <v>0</v>
      </c>
      <c r="K50" s="16"/>
      <c r="L50" s="16">
        <f>VLOOKUP(H50,'Team List'!D:I,6,FALSE)</f>
        <v>0</v>
      </c>
      <c r="M50" s="16" t="str">
        <f>VLOOKUP(H50,'Team List'!$D:$J,7,FALSE)</f>
        <v>None</v>
      </c>
      <c r="N50" s="16"/>
      <c r="O50" s="15" t="s">
        <v>6</v>
      </c>
      <c r="P50" s="16"/>
      <c r="Q50" s="16"/>
    </row>
    <row r="51" spans="1:17">
      <c r="A51" t="str">
        <f>VLOOKUP(F51,'Team List'!$D:$J,7,FALSE)</f>
        <v>None</v>
      </c>
      <c r="B51" s="16">
        <f>VLOOKUP(F51,'Team List'!D:I,6,FALSE)</f>
        <v>0</v>
      </c>
      <c r="C51" s="16"/>
      <c r="D51" s="16">
        <f>(0*0.78+0.4)*B51</f>
        <v>0</v>
      </c>
      <c r="E51" s="16"/>
      <c r="F51" s="21" t="s">
        <v>10</v>
      </c>
      <c r="G51" s="22">
        <v>5</v>
      </c>
      <c r="H51" s="21" t="s">
        <v>10</v>
      </c>
      <c r="I51" s="46"/>
      <c r="J51" s="16">
        <f>(0*0.78+0.4)*L51</f>
        <v>0</v>
      </c>
      <c r="K51" s="16"/>
      <c r="L51" s="16">
        <f>VLOOKUP(H51,'Team List'!D:I,6,FALSE)</f>
        <v>0</v>
      </c>
      <c r="M51" s="16" t="str">
        <f>VLOOKUP(H51,'Team List'!$D:$J,7,FALSE)</f>
        <v>None</v>
      </c>
      <c r="N51" s="16"/>
      <c r="O51" s="16" t="s">
        <v>7</v>
      </c>
      <c r="P51" s="16">
        <f>SUM(D46:D51)+SUM(J47:J51)</f>
        <v>0</v>
      </c>
      <c r="Q51" s="16"/>
    </row>
    <row r="52" spans="1:17" ht="15.75" thickBot="1">
      <c r="A52" t="str">
        <f>VLOOKUP(F52,'Team List'!$D:$J,7,FALSE)</f>
        <v>None</v>
      </c>
      <c r="B52" s="16">
        <f>VLOOKUP(F52,'Team List'!D:I,6,FALSE)</f>
        <v>0</v>
      </c>
      <c r="C52" s="16"/>
      <c r="D52" s="16">
        <f>(0*0.78+0.4)*B52</f>
        <v>0</v>
      </c>
      <c r="E52" s="16"/>
      <c r="F52" s="21" t="s">
        <v>10</v>
      </c>
      <c r="G52" s="22">
        <v>6</v>
      </c>
      <c r="H52" s="21" t="s">
        <v>10</v>
      </c>
      <c r="I52" s="46"/>
      <c r="J52" s="16">
        <f>(0*0.78+0.4)*L52</f>
        <v>0</v>
      </c>
      <c r="K52" s="16"/>
      <c r="L52" s="16">
        <f>VLOOKUP(H52,'Team List'!D:I,6,FALSE)</f>
        <v>0</v>
      </c>
      <c r="M52" s="16" t="str">
        <f>VLOOKUP(H52,'Team List'!$D:$J,7,FALSE)</f>
        <v>None</v>
      </c>
      <c r="N52" s="16"/>
      <c r="O52" s="24" t="s">
        <v>8</v>
      </c>
      <c r="P52" s="24">
        <f>SUM(D52:D57)+SUM(J52:J56)</f>
        <v>0</v>
      </c>
      <c r="Q52" s="16"/>
    </row>
    <row r="53" spans="1:17" ht="15.75" thickTop="1">
      <c r="A53" t="str">
        <f>VLOOKUP(F53,'Team List'!$D:$J,7,FALSE)</f>
        <v>None</v>
      </c>
      <c r="B53" s="16">
        <f>VLOOKUP(F53,'Team List'!D:I,6,FALSE)</f>
        <v>0</v>
      </c>
      <c r="C53" s="16"/>
      <c r="D53" s="16">
        <f>(1*0.78+0.4)*B53</f>
        <v>0</v>
      </c>
      <c r="E53" s="16"/>
      <c r="F53" s="21" t="s">
        <v>10</v>
      </c>
      <c r="G53" s="22">
        <v>7</v>
      </c>
      <c r="H53" s="21" t="s">
        <v>10</v>
      </c>
      <c r="I53" s="46"/>
      <c r="J53" s="16">
        <f>(1*0.78+0.4)*L53</f>
        <v>0</v>
      </c>
      <c r="K53" s="16"/>
      <c r="L53" s="16">
        <f>VLOOKUP(H53,'Team List'!D:I,6,FALSE)</f>
        <v>0</v>
      </c>
      <c r="M53" s="16" t="str">
        <f>VLOOKUP(H53,'Team List'!$D:$J,7,FALSE)</f>
        <v>None</v>
      </c>
      <c r="N53" s="16"/>
      <c r="O53" s="15" t="s">
        <v>4</v>
      </c>
      <c r="P53" s="15">
        <f>P51-P52</f>
        <v>0</v>
      </c>
      <c r="Q53" s="16"/>
    </row>
    <row r="54" spans="1:17">
      <c r="A54" t="str">
        <f>VLOOKUP(F54,'Team List'!$D:$J,7,FALSE)</f>
        <v>None</v>
      </c>
      <c r="B54" s="16">
        <f>VLOOKUP(F54,'Team List'!D:I,6,FALSE)</f>
        <v>0</v>
      </c>
      <c r="C54" s="16"/>
      <c r="D54" s="16">
        <f>(2*0.78+0.4)*B54</f>
        <v>0</v>
      </c>
      <c r="E54" s="16"/>
      <c r="F54" s="21" t="s">
        <v>10</v>
      </c>
      <c r="G54" s="22">
        <v>8</v>
      </c>
      <c r="H54" s="21" t="s">
        <v>10</v>
      </c>
      <c r="I54" s="46"/>
      <c r="J54" s="16">
        <f>(2*0.78+0.4)*L54</f>
        <v>0</v>
      </c>
      <c r="K54" s="16"/>
      <c r="L54" s="16">
        <f>VLOOKUP(H54,'Team List'!D:I,6,FALSE)</f>
        <v>0</v>
      </c>
      <c r="M54" s="16" t="str">
        <f>VLOOKUP(H54,'Team List'!$D:$J,7,FALSE)</f>
        <v>None</v>
      </c>
      <c r="N54" s="16"/>
      <c r="O54" s="16"/>
      <c r="P54" s="16"/>
      <c r="Q54" s="16"/>
    </row>
    <row r="55" spans="1:17">
      <c r="A55" t="str">
        <f>VLOOKUP(F55,'Team List'!$D:$J,7,FALSE)</f>
        <v>None</v>
      </c>
      <c r="B55" s="16">
        <f>VLOOKUP(F55,'Team List'!D:I,6,FALSE)</f>
        <v>0</v>
      </c>
      <c r="C55" s="16"/>
      <c r="D55" s="16">
        <f>(3*0.78+0.4)*B55</f>
        <v>0</v>
      </c>
      <c r="E55" s="16"/>
      <c r="F55" s="21" t="s">
        <v>10</v>
      </c>
      <c r="G55" s="22">
        <v>9</v>
      </c>
      <c r="H55" s="21" t="s">
        <v>10</v>
      </c>
      <c r="I55" s="46"/>
      <c r="J55" s="16">
        <f>(3*0.78+0.4)*L55</f>
        <v>0</v>
      </c>
      <c r="K55" s="16"/>
      <c r="L55" s="16">
        <f>VLOOKUP(H55,'Team List'!D:I,6,FALSE)</f>
        <v>0</v>
      </c>
      <c r="M55" s="16" t="str">
        <f>VLOOKUP(H55,'Team List'!$D:$J,7,FALSE)</f>
        <v>None</v>
      </c>
      <c r="N55" s="16"/>
      <c r="O55" s="15"/>
      <c r="P55" s="16"/>
      <c r="Q55" s="16"/>
    </row>
    <row r="56" spans="1:17">
      <c r="A56" t="str">
        <f>VLOOKUP(F56,'Team List'!$D:$J,7,FALSE)</f>
        <v>None</v>
      </c>
      <c r="B56" s="16">
        <f>VLOOKUP(F56,'Team List'!D:I,6,FALSE)</f>
        <v>0</v>
      </c>
      <c r="C56" s="16"/>
      <c r="D56" s="16">
        <f>(4*0.78+0.4)*B56</f>
        <v>0</v>
      </c>
      <c r="E56" s="16"/>
      <c r="F56" s="21" t="s">
        <v>10</v>
      </c>
      <c r="G56" s="22">
        <v>10</v>
      </c>
      <c r="H56" s="21" t="s">
        <v>10</v>
      </c>
      <c r="I56" s="46"/>
      <c r="J56" s="16">
        <f>(4*0.78+0.4)*L56</f>
        <v>0</v>
      </c>
      <c r="K56" s="16"/>
      <c r="L56" s="16">
        <f>VLOOKUP(H56,'Team List'!D:I,6,FALSE)</f>
        <v>0</v>
      </c>
      <c r="M56" s="16" t="str">
        <f>VLOOKUP(H56,'Team List'!$D:$J,7,FALSE)</f>
        <v>None</v>
      </c>
      <c r="N56" s="16"/>
      <c r="O56" s="16"/>
      <c r="P56" s="16"/>
      <c r="Q56" s="16"/>
    </row>
    <row r="57" spans="1:17">
      <c r="B57" s="16">
        <f>VLOOKUP(G57,'Team List'!D:I,6,FALSE)</f>
        <v>0</v>
      </c>
      <c r="C57" s="16"/>
      <c r="D57" s="16">
        <f>(5*0.78+0.4)*B57</f>
        <v>0</v>
      </c>
      <c r="E57" s="16"/>
      <c r="F57" s="20"/>
      <c r="G57" s="21" t="s">
        <v>10</v>
      </c>
      <c r="H57" s="2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B58" s="16"/>
      <c r="C58" s="16"/>
      <c r="D58" s="16"/>
      <c r="E58" s="16"/>
      <c r="F58" s="16" t="s">
        <v>21</v>
      </c>
      <c r="G58" s="16"/>
      <c r="H58" s="16"/>
      <c r="I58" s="16"/>
      <c r="J58" s="16"/>
      <c r="K58" s="16"/>
      <c r="L58" s="16"/>
      <c r="M58" s="16"/>
      <c r="N58" s="16"/>
      <c r="O58" s="15"/>
      <c r="P58" s="15"/>
      <c r="Q58" s="16"/>
    </row>
  </sheetData>
  <conditionalFormatting sqref="F30">
    <cfRule type="cellIs" dxfId="51" priority="354" operator="equal">
      <formula>"Empty"</formula>
    </cfRule>
  </conditionalFormatting>
  <conditionalFormatting sqref="F30">
    <cfRule type="cellIs" dxfId="50" priority="353" operator="equal">
      <formula>"Empty"</formula>
    </cfRule>
  </conditionalFormatting>
  <conditionalFormatting sqref="H30:I30">
    <cfRule type="cellIs" dxfId="49" priority="359" operator="equal">
      <formula>"Empty"</formula>
    </cfRule>
  </conditionalFormatting>
  <conditionalFormatting sqref="H30:I30">
    <cfRule type="cellIs" dxfId="48" priority="355" operator="equal">
      <formula>"Empty"</formula>
    </cfRule>
  </conditionalFormatting>
  <conditionalFormatting sqref="H30:I30">
    <cfRule type="cellIs" dxfId="47" priority="356" operator="equal">
      <formula>"Empty"</formula>
    </cfRule>
  </conditionalFormatting>
  <conditionalFormatting sqref="H30:I30">
    <cfRule type="cellIs" dxfId="46" priority="360" operator="equal">
      <formula>"Empty"</formula>
    </cfRule>
  </conditionalFormatting>
  <conditionalFormatting sqref="F30">
    <cfRule type="cellIs" dxfId="45" priority="357" operator="equal">
      <formula>"Empty"</formula>
    </cfRule>
  </conditionalFormatting>
  <conditionalFormatting sqref="F30">
    <cfRule type="cellIs" dxfId="44" priority="358" operator="equal">
      <formula>"Empty"</formula>
    </cfRule>
  </conditionalFormatting>
  <conditionalFormatting sqref="A6:A15">
    <cfRule type="containsText" dxfId="43" priority="46" operator="containsText" text="Right">
      <formula>NOT(ISERROR(SEARCH("Right",A6)))</formula>
    </cfRule>
  </conditionalFormatting>
  <conditionalFormatting sqref="M6:N15">
    <cfRule type="containsText" dxfId="42" priority="45" operator="containsText" text="Left">
      <formula>NOT(ISERROR(SEARCH("Left",M6)))</formula>
    </cfRule>
  </conditionalFormatting>
  <conditionalFormatting sqref="F6">
    <cfRule type="cellIs" dxfId="41" priority="44" operator="equal">
      <formula>"Empty"</formula>
    </cfRule>
  </conditionalFormatting>
  <conditionalFormatting sqref="F6">
    <cfRule type="cellIs" dxfId="40" priority="43" operator="equal">
      <formula>"Empty"</formula>
    </cfRule>
  </conditionalFormatting>
  <conditionalFormatting sqref="H6:I6">
    <cfRule type="cellIs" dxfId="39" priority="42" operator="equal">
      <formula>"Empty"</formula>
    </cfRule>
  </conditionalFormatting>
  <conditionalFormatting sqref="H6:I6">
    <cfRule type="cellIs" dxfId="38" priority="41" operator="equal">
      <formula>"Empty"</formula>
    </cfRule>
  </conditionalFormatting>
  <conditionalFormatting sqref="F7:F15">
    <cfRule type="cellIs" dxfId="37" priority="40" operator="equal">
      <formula>"Empty"</formula>
    </cfRule>
  </conditionalFormatting>
  <conditionalFormatting sqref="F7:F15">
    <cfRule type="cellIs" dxfId="36" priority="39" operator="equal">
      <formula>"Empty"</formula>
    </cfRule>
  </conditionalFormatting>
  <conditionalFormatting sqref="F23:F27">
    <cfRule type="cellIs" dxfId="35" priority="36" operator="equal">
      <formula>"Empty"</formula>
    </cfRule>
  </conditionalFormatting>
  <conditionalFormatting sqref="F23:F27">
    <cfRule type="cellIs" dxfId="34" priority="35" operator="equal">
      <formula>"Empty"</formula>
    </cfRule>
  </conditionalFormatting>
  <conditionalFormatting sqref="F35:F39">
    <cfRule type="cellIs" dxfId="33" priority="34" operator="equal">
      <formula>"Empty"</formula>
    </cfRule>
  </conditionalFormatting>
  <conditionalFormatting sqref="F35:F39">
    <cfRule type="cellIs" dxfId="32" priority="33" operator="equal">
      <formula>"Empty"</formula>
    </cfRule>
  </conditionalFormatting>
  <conditionalFormatting sqref="F47:F56">
    <cfRule type="cellIs" dxfId="31" priority="32" operator="equal">
      <formula>"Empty"</formula>
    </cfRule>
  </conditionalFormatting>
  <conditionalFormatting sqref="F47:F56">
    <cfRule type="cellIs" dxfId="30" priority="31" operator="equal">
      <formula>"Empty"</formula>
    </cfRule>
  </conditionalFormatting>
  <conditionalFormatting sqref="H7:I15">
    <cfRule type="cellIs" dxfId="29" priority="30" operator="equal">
      <formula>"Empty"</formula>
    </cfRule>
  </conditionalFormatting>
  <conditionalFormatting sqref="H7:I15">
    <cfRule type="cellIs" dxfId="28" priority="29" operator="equal">
      <formula>"Empty"</formula>
    </cfRule>
  </conditionalFormatting>
  <conditionalFormatting sqref="H23:I27">
    <cfRule type="cellIs" dxfId="27" priority="28" operator="equal">
      <formula>"Empty"</formula>
    </cfRule>
  </conditionalFormatting>
  <conditionalFormatting sqref="H23:I27">
    <cfRule type="cellIs" dxfId="26" priority="27" operator="equal">
      <formula>"Empty"</formula>
    </cfRule>
  </conditionalFormatting>
  <conditionalFormatting sqref="H35:I39">
    <cfRule type="cellIs" dxfId="25" priority="26" operator="equal">
      <formula>"Empty"</formula>
    </cfRule>
  </conditionalFormatting>
  <conditionalFormatting sqref="H35:I39">
    <cfRule type="cellIs" dxfId="24" priority="25" operator="equal">
      <formula>"Empty"</formula>
    </cfRule>
  </conditionalFormatting>
  <conditionalFormatting sqref="H47:I56">
    <cfRule type="cellIs" dxfId="23" priority="24" operator="equal">
      <formula>"Empty"</formula>
    </cfRule>
  </conditionalFormatting>
  <conditionalFormatting sqref="H47:I56">
    <cfRule type="cellIs" dxfId="22" priority="23" operator="equal">
      <formula>"Empty"</formula>
    </cfRule>
  </conditionalFormatting>
  <conditionalFormatting sqref="G5">
    <cfRule type="cellIs" dxfId="21" priority="21" operator="equal">
      <formula>"Empty"</formula>
    </cfRule>
  </conditionalFormatting>
  <conditionalFormatting sqref="G5">
    <cfRule type="cellIs" dxfId="20" priority="22" operator="equal">
      <formula>"Empty"</formula>
    </cfRule>
  </conditionalFormatting>
  <conditionalFormatting sqref="G22">
    <cfRule type="cellIs" dxfId="19" priority="19" operator="equal">
      <formula>"Empty"</formula>
    </cfRule>
  </conditionalFormatting>
  <conditionalFormatting sqref="G22">
    <cfRule type="cellIs" dxfId="18" priority="20" operator="equal">
      <formula>"Empty"</formula>
    </cfRule>
  </conditionalFormatting>
  <conditionalFormatting sqref="G34">
    <cfRule type="cellIs" dxfId="17" priority="17" operator="equal">
      <formula>"Empty"</formula>
    </cfRule>
  </conditionalFormatting>
  <conditionalFormatting sqref="G34">
    <cfRule type="cellIs" dxfId="16" priority="18" operator="equal">
      <formula>"Empty"</formula>
    </cfRule>
  </conditionalFormatting>
  <conditionalFormatting sqref="G46">
    <cfRule type="cellIs" dxfId="15" priority="15" operator="equal">
      <formula>"Empty"</formula>
    </cfRule>
  </conditionalFormatting>
  <conditionalFormatting sqref="G46">
    <cfRule type="cellIs" dxfId="14" priority="16" operator="equal">
      <formula>"Empty"</formula>
    </cfRule>
  </conditionalFormatting>
  <conditionalFormatting sqref="G16">
    <cfRule type="cellIs" dxfId="13" priority="13" operator="equal">
      <formula>"Empty"</formula>
    </cfRule>
  </conditionalFormatting>
  <conditionalFormatting sqref="G16">
    <cfRule type="cellIs" dxfId="12" priority="14" operator="equal">
      <formula>"Empty"</formula>
    </cfRule>
  </conditionalFormatting>
  <conditionalFormatting sqref="G28">
    <cfRule type="cellIs" dxfId="11" priority="11" operator="equal">
      <formula>"Empty"</formula>
    </cfRule>
  </conditionalFormatting>
  <conditionalFormatting sqref="G28">
    <cfRule type="cellIs" dxfId="10" priority="12" operator="equal">
      <formula>"Empty"</formula>
    </cfRule>
  </conditionalFormatting>
  <conditionalFormatting sqref="G40">
    <cfRule type="cellIs" dxfId="9" priority="9" operator="equal">
      <formula>"Empty"</formula>
    </cfRule>
  </conditionalFormatting>
  <conditionalFormatting sqref="G40">
    <cfRule type="cellIs" dxfId="8" priority="10" operator="equal">
      <formula>"Empty"</formula>
    </cfRule>
  </conditionalFormatting>
  <conditionalFormatting sqref="G57">
    <cfRule type="cellIs" dxfId="7" priority="7" operator="equal">
      <formula>"Empty"</formula>
    </cfRule>
  </conditionalFormatting>
  <conditionalFormatting sqref="G57">
    <cfRule type="cellIs" dxfId="6" priority="8" operator="equal">
      <formula>"Empty"</formula>
    </cfRule>
  </conditionalFormatting>
  <conditionalFormatting sqref="A23:A27">
    <cfRule type="containsText" dxfId="5" priority="6" operator="containsText" text="Right">
      <formula>NOT(ISERROR(SEARCH("Right",A23)))</formula>
    </cfRule>
  </conditionalFormatting>
  <conditionalFormatting sqref="A35:A39">
    <cfRule type="containsText" dxfId="4" priority="5" operator="containsText" text="Right">
      <formula>NOT(ISERROR(SEARCH("Right",A35)))</formula>
    </cfRule>
  </conditionalFormatting>
  <conditionalFormatting sqref="A47:A56">
    <cfRule type="containsText" dxfId="3" priority="4" operator="containsText" text="Right">
      <formula>NOT(ISERROR(SEARCH("Right",A47)))</formula>
    </cfRule>
  </conditionalFormatting>
  <conditionalFormatting sqref="M23:N27">
    <cfRule type="containsText" dxfId="2" priority="3" operator="containsText" text="Left">
      <formula>NOT(ISERROR(SEARCH("Left",M23)))</formula>
    </cfRule>
  </conditionalFormatting>
  <conditionalFormatting sqref="M35:N39">
    <cfRule type="containsText" dxfId="1" priority="2" operator="containsText" text="Left">
      <formula>NOT(ISERROR(SEARCH("Left",M35)))</formula>
    </cfRule>
  </conditionalFormatting>
  <conditionalFormatting sqref="M47:N56">
    <cfRule type="containsText" dxfId="0" priority="1" operator="containsText" text="Left">
      <formula>NOT(ISERROR(SEARCH("Left",M47)))</formula>
    </cfRule>
  </conditionalFormatting>
  <dataValidations count="6">
    <dataValidation type="list" showInputMessage="1" showErrorMessage="1" sqref="H30:I30" xr:uid="{00000000-0002-0000-0500-000000000000}">
      <formula1>$J$5:$J$67</formula1>
    </dataValidation>
    <dataValidation type="list" showInputMessage="1" showErrorMessage="1" sqref="F30" xr:uid="{00000000-0002-0000-0500-000001000000}">
      <formula1>$H$5:$H$67</formula1>
    </dataValidation>
    <dataValidation type="list" showInputMessage="1" showErrorMessage="1" sqref="H6:I15 H35:I39 H23:I27" xr:uid="{00000000-0002-0000-0500-000002000000}">
      <formula1>$G$2:$G$61</formula1>
    </dataValidation>
    <dataValidation type="list" showInputMessage="1" showErrorMessage="1" sqref="F6:F15 F47:F56 F23:F27" xr:uid="{00000000-0002-0000-0500-000003000000}">
      <formula1>$F$2:$F$61</formula1>
    </dataValidation>
    <dataValidation type="list" showInputMessage="1" showErrorMessage="1" sqref="G16 G57 G40" xr:uid="{00000000-0002-0000-0500-000004000000}">
      <formula1>$H$2:$H$61</formula1>
    </dataValidation>
    <dataValidation type="list" showInputMessage="1" showErrorMessage="1" sqref="G22 G34 G46" xr:uid="{00000000-0002-0000-0500-000005000000}">
      <formula1>$J$2:$J$61</formula1>
    </dataValidation>
  </dataValidations>
  <pageMargins left="0.70866141732283472" right="0.70866141732283472" top="0.55118110236220474" bottom="0.55118110236220474" header="0.31496062992125984" footer="0.31496062992125984"/>
  <pageSetup paperSize="9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00000000-0002-0000-0500-000006000000}">
          <x14:formula1>
            <xm:f>'Team List'!$F$4:$F$58</xm:f>
          </x14:formula1>
          <xm:sqref>H47:I56</xm:sqref>
        </x14:dataValidation>
        <x14:dataValidation type="list" showInputMessage="1" showErrorMessage="1" xr:uid="{00000000-0002-0000-0500-000007000000}">
          <x14:formula1>
            <xm:f>'Team List'!$E$4:$E$58</xm:f>
          </x14:formula1>
          <xm:sqref>F35:F39</xm:sqref>
        </x14:dataValidation>
        <x14:dataValidation type="list" showInputMessage="1" showErrorMessage="1" xr:uid="{00000000-0002-0000-0500-000008000000}">
          <x14:formula1>
            <xm:f>'Team List'!$G$4:$G$58</xm:f>
          </x14:formula1>
          <xm:sqref>G28</xm:sqref>
        </x14:dataValidation>
        <x14:dataValidation type="list" showInputMessage="1" showErrorMessage="1" xr:uid="{00000000-0002-0000-0500-000009000000}">
          <x14:formula1>
            <xm:f>'Team List'!$H$4:$H$58</xm:f>
          </x14:formula1>
          <xm:sqref>G5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Issue</vt:lpstr>
      <vt:lpstr>Regatta Seating</vt:lpstr>
      <vt:lpstr>Team List</vt:lpstr>
      <vt:lpstr>DoB</vt:lpstr>
      <vt:lpstr>Boat Details</vt:lpstr>
      <vt:lpstr>Boat Seat Templates</vt:lpstr>
      <vt:lpstr>fruit</vt:lpstr>
      <vt:lpstr>Gender</vt:lpstr>
      <vt:lpstr>Paddlers</vt:lpstr>
      <vt:lpstr>Paddlers_Left</vt:lpstr>
      <vt:lpstr>Paddlers_Right</vt:lpstr>
      <vt:lpstr>'Regatta Seating'!Print_Area</vt:lpstr>
      <vt:lpstr>'Team List'!Print_Area</vt:lpstr>
      <vt:lpstr>Regatta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Saunders</dc:creator>
  <cp:lastModifiedBy>Lucy Arrowsmith</cp:lastModifiedBy>
  <cp:lastPrinted>2022-04-01T05:39:15Z</cp:lastPrinted>
  <dcterms:created xsi:type="dcterms:W3CDTF">2010-10-04T09:37:31Z</dcterms:created>
  <dcterms:modified xsi:type="dcterms:W3CDTF">2023-02-15T05:57:10Z</dcterms:modified>
</cp:coreProperties>
</file>